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-120" yWindow="-120" windowWidth="20730" windowHeight="11160"/>
  </bookViews>
  <sheets>
    <sheet name="Refrence 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3" i="1"/>
  <c r="P40" i="1" l="1"/>
  <c r="P41" i="1" s="1"/>
  <c r="O41" i="1"/>
</calcChain>
</file>

<file path=xl/sharedStrings.xml><?xml version="1.0" encoding="utf-8"?>
<sst xmlns="http://schemas.openxmlformats.org/spreadsheetml/2006/main" count="248" uniqueCount="184">
  <si>
    <t>Description</t>
  </si>
  <si>
    <t>Designator</t>
  </si>
  <si>
    <t>Manufacturer</t>
  </si>
  <si>
    <t>Manufacturer Part Number</t>
  </si>
  <si>
    <t>0.1uF</t>
  </si>
  <si>
    <t>TDK</t>
  </si>
  <si>
    <t>47uF</t>
  </si>
  <si>
    <t>4.7uF</t>
  </si>
  <si>
    <t>114-00841-68</t>
  </si>
  <si>
    <t>CONN MICRO SD CARD PUSH-PULL R/A</t>
  </si>
  <si>
    <t>J6</t>
  </si>
  <si>
    <t>CONN RCPT USB2.0 MICRO B SMD R/A</t>
  </si>
  <si>
    <t>100K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</si>
  <si>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</si>
  <si>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</si>
  <si>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</si>
  <si>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</si>
  <si>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</si>
  <si>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</si>
  <si>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</si>
  <si>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</si>
  <si>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</si>
  <si>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</si>
  <si>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</si>
  <si>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</si>
  <si>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</si>
  <si>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</si>
  <si>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Resistor</t>
  </si>
  <si>
    <t>Ics</t>
  </si>
  <si>
    <t>Connector</t>
  </si>
  <si>
    <t>Digikey</t>
  </si>
  <si>
    <t>Custom</t>
  </si>
  <si>
    <t xml:space="preserve">Total Component Cost </t>
  </si>
  <si>
    <t>Single Board Cost</t>
  </si>
  <si>
    <t>1uF</t>
  </si>
  <si>
    <t>10uF</t>
  </si>
  <si>
    <t>D5, D6</t>
  </si>
  <si>
    <t>R3</t>
  </si>
  <si>
    <t>10K</t>
  </si>
  <si>
    <t>Mosfet</t>
  </si>
  <si>
    <t>L1</t>
  </si>
  <si>
    <t>Inductor</t>
  </si>
  <si>
    <t>U1</t>
  </si>
  <si>
    <t>U2</t>
  </si>
  <si>
    <t>U3</t>
  </si>
  <si>
    <t>SOT-23</t>
  </si>
  <si>
    <t>Res0603</t>
  </si>
  <si>
    <t>U8</t>
  </si>
  <si>
    <t>CONN HEADER VERT 3POS 2.54MM</t>
  </si>
  <si>
    <t>Link</t>
  </si>
  <si>
    <t xml:space="preserve">Bill of Material (BOM) for Refrence Formate </t>
  </si>
  <si>
    <t>CAP CER 10UF 35V X5R 0603</t>
  </si>
  <si>
    <t>C1</t>
  </si>
  <si>
    <t>Cap0603</t>
  </si>
  <si>
    <t>GRM188R6YA106MA73D</t>
  </si>
  <si>
    <t>CAP CER 47uF 25V 1210</t>
  </si>
  <si>
    <t>C2</t>
  </si>
  <si>
    <t>Cap1210</t>
  </si>
  <si>
    <t>TMK325ABJ476MM-P</t>
  </si>
  <si>
    <t>CAP CER 8.2nF 50V X7R 10% 0603</t>
  </si>
  <si>
    <t>C3</t>
  </si>
  <si>
    <t>CC0603KRX7R9BB822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</si>
  <si>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</si>
  <si>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</si>
  <si>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</si>
  <si>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</si>
  <si>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</si>
  <si>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</si>
  <si>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</si>
  <si>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</si>
  <si>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RVT1E100M0405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</si>
  <si>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</si>
  <si>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</si>
  <si>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</si>
  <si>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</si>
  <si>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</si>
  <si>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</si>
  <si>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</si>
  <si>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</si>
  <si>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</si>
  <si>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</si>
  <si>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</si>
  <si>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</si>
  <si>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>8200pF</t>
  </si>
  <si>
    <t>10000pF</t>
  </si>
  <si>
    <t>10pF</t>
  </si>
  <si>
    <t>20pF</t>
  </si>
  <si>
    <t>DIODE ZENER 3.3V 200MW SOD323F</t>
  </si>
  <si>
    <t>D1, D2, D3, D4</t>
  </si>
  <si>
    <t>MM3Z3V3B</t>
  </si>
  <si>
    <t>Schottky Rectifier, 60 V, 12 A, Dual Common Cathode, TO-252AA</t>
  </si>
  <si>
    <t>VS-12CWQ06FNTR-M3</t>
  </si>
  <si>
    <t>FIXED IND 3.3UH 6.5A 36 MOHM SMD</t>
  </si>
  <si>
    <t>ASPI-0530LR-3R3M-T2</t>
  </si>
  <si>
    <t>TRANS NPN 40V 0.6A SMD SOT23-3</t>
  </si>
  <si>
    <t>Q1</t>
  </si>
  <si>
    <t>MMBT2222A-7-F</t>
  </si>
  <si>
    <t>3.3 µH</t>
  </si>
  <si>
    <t>RES SMD 1.69K 0.1W 0603</t>
  </si>
  <si>
    <t>R1</t>
  </si>
  <si>
    <t>CR0603-FX-1691ELF</t>
  </si>
  <si>
    <t>RES SMD 100K OHM 5% 1/5W 0603</t>
  </si>
  <si>
    <t>R2</t>
  </si>
  <si>
    <t>CRGH0603J100K</t>
  </si>
  <si>
    <t>RES SMD 0603 56K Ohm 5% 0.1W</t>
  </si>
  <si>
    <t>RC0603JR-0756KL</t>
  </si>
  <si>
    <t>RES SMD 10K OHM 1% 1/10W 0603</t>
  </si>
  <si>
    <t>R4, R5, R6, R19, R20, R23</t>
  </si>
  <si>
    <t>RC0603FR-0710KL</t>
  </si>
  <si>
    <t>RES SMD 390 OHM ±1% 1W ±100ppm/℃ 1218 Chip Resistor</t>
  </si>
  <si>
    <t>R7, R12, R13, R14</t>
  </si>
  <si>
    <t>Res 1218</t>
  </si>
  <si>
    <t>CRW1218F390RE04Z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</si>
  <si>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</si>
  <si>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</si>
  <si>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</si>
  <si>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</si>
  <si>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</si>
  <si>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</si>
  <si>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</si>
  <si>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</si>
  <si>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</si>
  <si>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</si>
  <si>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</si>
  <si>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</si>
  <si>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1K69</t>
  </si>
  <si>
    <t>56K</t>
  </si>
  <si>
    <t>390R</t>
  </si>
  <si>
    <t>3.3K</t>
  </si>
  <si>
    <t>200R</t>
  </si>
  <si>
    <t>36K</t>
  </si>
  <si>
    <t>1.5K</t>
  </si>
  <si>
    <t>-</t>
  </si>
  <si>
    <t>SWITCH TACTILE SPST-NO 0.05A 12V</t>
  </si>
  <si>
    <t>SW1, SW3</t>
  </si>
  <si>
    <t>B3U-1000P</t>
  </si>
  <si>
    <t>SPDT 50mA @ 12VDC 12V On-On SMD Toggle Switches RoHS</t>
  </si>
  <si>
    <t>SW2</t>
  </si>
  <si>
    <t>SS-3235D-03-L2</t>
  </si>
  <si>
    <t>-40℃~85℃ 32768Hz 贴片无源晶振 ±20ppm 90kΩ 6pF SMD2012-2P Crystals ROHS</t>
  </si>
  <si>
    <t>X1</t>
  </si>
  <si>
    <t>X1A000061002100</t>
  </si>
  <si>
    <t>12pF -40℃~85℃ 贴片无源晶振 ±20ppm 8000000Hz SMD3225-4P Crystals ROHS</t>
  </si>
  <si>
    <t>X2</t>
  </si>
  <si>
    <t>XXDCCLNANF-8.000000MHZ</t>
  </si>
  <si>
    <t>32.768 KHz</t>
  </si>
  <si>
    <t>Switch</t>
  </si>
  <si>
    <t>Crystal</t>
  </si>
  <si>
    <t>IC REG BUCK ADJUSTABLE 6A 14VQFN</t>
  </si>
  <si>
    <t>14-VQFN (3.5x3.5)</t>
  </si>
  <si>
    <t>TPS54620RHLR</t>
  </si>
  <si>
    <t>STM32F070CBT6TR</t>
  </si>
  <si>
    <t>48-LQFP (7x7)</t>
  </si>
  <si>
    <t>IC REG LINEAR 3.3V 1A SOT223</t>
  </si>
  <si>
    <t>SOT-223</t>
  </si>
  <si>
    <t>NCP1117LPST33T3G</t>
  </si>
  <si>
    <t>TransistorOptocouplers DC 1 2500Vrms SOP-4_P1.27 Optocouplers RoHS</t>
  </si>
  <si>
    <t>U4, U5, U6, U7</t>
  </si>
  <si>
    <t>PS2801C-1-F3-A</t>
  </si>
  <si>
    <t>IC TRANSLATION TXRX 5.5V 24TSSOP</t>
  </si>
  <si>
    <t>24-TSSOP</t>
  </si>
  <si>
    <t>SN74LVC8T245PWR</t>
  </si>
  <si>
    <t>Power Switch Hi Side 2A 4-Pin Thin MLF T/R</t>
  </si>
  <si>
    <t>U9, U10, U11, U12, U13</t>
  </si>
  <si>
    <t>MIC94082YFT-TR</t>
  </si>
  <si>
    <t>J1, J2, J4, J5, J7</t>
  </si>
  <si>
    <t>640456-3</t>
  </si>
  <si>
    <t>P=5.0mm Screw terminal ROHS</t>
  </si>
  <si>
    <t>J3</t>
  </si>
  <si>
    <t>WJ126V-5.0-6P</t>
  </si>
  <si>
    <t>J8</t>
  </si>
  <si>
    <t>10118194-0001LF</t>
  </si>
  <si>
    <t>8000000Hz</t>
  </si>
  <si>
    <t>--</t>
  </si>
  <si>
    <t>SOD323F</t>
  </si>
  <si>
    <t>TO-252AA</t>
  </si>
  <si>
    <t xml:space="preserve">Murata </t>
  </si>
  <si>
    <t xml:space="preserve">Taiyo </t>
  </si>
  <si>
    <t>YAGEO</t>
  </si>
  <si>
    <t xml:space="preserve">KYOCERA </t>
  </si>
  <si>
    <t xml:space="preserve">Samsung </t>
  </si>
  <si>
    <t>onsemi</t>
  </si>
  <si>
    <t xml:space="preserve">Vishay </t>
  </si>
  <si>
    <t xml:space="preserve">Abracon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</si>
</sst>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5" xfId="0" applyFont="1" applyFill="1" applyBorder="1" applyAlignment="1">
      <alignment horizontal="center" vertical="center"/>
    </xf>
    <xf numFmtId="0" fontId="0" fillId="0" borderId="0" xfId="0" applyFont="1"/>
    <xf numFmtId="0" fontId="4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1" quotePrefix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6" fontId="0" fillId="0" borderId="0" xfId="0" applyNumberFormat="1"/>
    <xf numFmtId="166" fontId="6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0" fontId="6" fillId="0" borderId="1" xfId="0" quotePrefix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0" fontId="2" fillId="0" borderId="2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0" fillId="0" borderId="1" xfId="0" quotePrefix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kyocera-avx/06035A100JAT2A/563273?s=N4IgTCBcDaIAwDY4GYCsBBAjHOApdAKmOiALoC%2BQA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yageo/CC0603KRX7R9BB822/5195218?s=N4IgTCBcDaIMJwAwDZEGYDSAlAGgdiwE4AhYgDjAgF0BfIA" TargetMode="External"/><Relationship Id="rId7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2" Type="http://schemas.openxmlformats.org/officeDocument/2006/relationships/hyperlink" Target="https://www.digikey.com/en/products/detail/abracon-llc/ASPI-0530LR-3R3M-T2/3059585?s=N4IgTCBcDaIIIGUAKBJAtABgKwGYMBkAlNHQnAWTQBUIBdAXyA" TargetMode="External"/><Relationship Id="rId2" Type="http://schemas.openxmlformats.org/officeDocument/2006/relationships/hyperlink" Target="https://www.digikey.com/en/products/detail/taiyo-yuden/TMK325ABJ476MM-P/7067064?s=N4IgTCBcDaICoFkDSBmMBWAggIQFIBYB2ANgQQFoAFEAXQF8g" TargetMode="External"/><Relationship Id="rId1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6" Type="http://schemas.openxmlformats.org/officeDocument/2006/relationships/hyperlink" Target="https://www.digikey.com/en/products/detail/yageo/CC0603KRX5R8BB105/2833610?s=N4IgTCBcDaIMJwAwDZEGYDSAlAGgViwA4AhYgRkTxAF0BfIA" TargetMode="External"/><Relationship Id="rId11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5" Type="http://schemas.openxmlformats.org/officeDocument/2006/relationships/hyperlink" Target="https://www.digikey.com/en/products/detail/yageo/CC0603KRX7R0BB104/3476111?s=N4IgTCBcDaIMJwAwDZEGYDSAlAGgdi0QCEiBGRAFhAF0BfIA" TargetMode="External"/><Relationship Id="rId10" Type="http://schemas.openxmlformats.org/officeDocument/2006/relationships/hyperlink" Target="https://www.digikey.com/en/products/detail/onsemi/MM3Z3V3B/1626765" TargetMode="External"/><Relationship Id="rId4" Type="http://schemas.openxmlformats.org/officeDocument/2006/relationships/hyperlink" Target="https://www.digikey.com/en/products/detail/yageo/CC0603KRX7R9BB103/302819?s=N4IgTCBcDaIMJwAwDZEGYDSAlAGgdiwE4AhYgRnRAF0BfIA" TargetMode="External"/><Relationship Id="rId9" Type="http://schemas.openxmlformats.org/officeDocument/2006/relationships/hyperlink" Target="https://www.digikey.com/en/products/detail/samsung-electro-mechanics/CL10C200JB8NNNC/3886845?s=N4IgTCBcDaIMIBkCMAGOYUoFICEAcAckX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abSelected="1" topLeftCell="G1" zoomScale="86" zoomScaleNormal="85" workbookViewId="0">
      <selection activeCell="G26" sqref="G26"/>
    </sheetView>
  </sheetViews>
  <sheetFormatPr defaultRowHeight="15" x14ac:dyDescent="0.25"/>
  <cols>
    <col min="1" max="1" width="6.140625" style="11" bestFit="1" customWidth="1"/>
    <col min="2" max="2" width="14.42578125" customWidth="1"/>
    <col min="3" max="3" width="35.85546875" bestFit="1" customWidth="1"/>
    <col min="4" max="4" width="32.140625" style="11" bestFit="1" customWidth="1"/>
    <col min="5" max="5" width="18.5703125" style="11" bestFit="1" customWidth="1"/>
    <col min="6" max="6" width="25.28515625" style="11" bestFit="1" customWidth="1"/>
    <col min="7" max="7" width="19.140625" bestFit="1" customWidth="1"/>
    <col min="8" max="8" width="18.7109375" bestFit="1" customWidth="1"/>
    <col min="9" max="9" width="11.28515625" style="11" bestFit="1" customWidth="1"/>
    <col min="10" max="10" width="19.42578125" style="11" bestFit="1" customWidth="1"/>
    <col min="11" max="11" width="10.140625" bestFit="1" customWidth="1"/>
    <col min="12" max="12" width="11.7109375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48.28515625" bestFit="1" customWidth="1"/>
  </cols>
  <sheetData>
    <row r="1" spans="1:19" ht="16.5" thickBot="1" x14ac:dyDescent="0.3">
      <c r="A1" s="22" t="s">
        <v>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4"/>
    </row>
    <row r="2" spans="1:19" ht="15.75" thickBot="1" x14ac:dyDescent="0.3">
      <c r="A2" s="1" t="s">
        <v>13</v>
      </c>
      <c r="B2" s="1" t="s">
        <v>14</v>
      </c>
      <c r="C2" s="1" t="s">
        <v>0</v>
      </c>
      <c r="D2" s="1" t="s">
        <v>1</v>
      </c>
      <c r="E2" s="1" t="s">
        <v>15</v>
      </c>
      <c r="F2" s="1" t="s">
        <v>3</v>
      </c>
      <c r="G2" s="1" t="s">
        <v>2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49</v>
      </c>
      <c r="M2" s="1" t="s">
        <v>20</v>
      </c>
      <c r="N2" s="1" t="s">
        <v>21</v>
      </c>
      <c r="O2" s="1" t="s">
        <v>22</v>
      </c>
      <c r="P2" s="1" t="s">
        <v>23</v>
      </c>
      <c r="Q2" s="1" t="s">
        <v>24</v>
      </c>
    </row>
    <row r="3" spans="1:19" ht="15.75" thickBot="1" x14ac:dyDescent="0.3">
      <c r="A3" s="14">
        <v>1</v>
      </c>
      <c r="B3" s="29" t="s">
        <v>25</v>
      </c>
      <c r="C3" s="32" t="s">
        <v>51</v>
      </c>
      <c r="D3" s="33" t="s">
        <v>52</v>
      </c>
      <c r="E3" s="33" t="s">
        <v>53</v>
      </c>
      <c r="F3" s="33" t="s">
        <v>54</v>
      </c>
      <c r="G3" s="3" t="s">
        <v>176</v>
      </c>
      <c r="H3" s="12" t="s">
        <v>132</v>
      </c>
      <c r="I3" s="33" t="s">
        <v>35</v>
      </c>
      <c r="J3" s="36">
        <v>1</v>
      </c>
      <c r="K3" s="4">
        <f>J3*5</f>
        <v>5</v>
      </c>
      <c r="L3" s="16" t="s">
        <v>30</v>
      </c>
      <c r="M3" s="7">
        <v>0.45</v>
      </c>
      <c r="N3" s="7">
        <f>M3*J3</f>
        <v>0.45</v>
      </c>
      <c r="O3" s="7">
        <v>0.45</v>
      </c>
      <c r="P3" s="7">
        <f>O3*K3</f>
        <v>2.25</v>
      </c>
      <c r="Q3" s="4"/>
      <c r="R3" s="2"/>
      <c r="S3" s="2"/>
    </row>
    <row r="4" spans="1:19" ht="15.75" thickBot="1" x14ac:dyDescent="0.3">
      <c r="A4" s="14">
        <v>2</v>
      </c>
      <c r="B4" s="30"/>
      <c r="C4" s="32" t="s">
        <v>55</v>
      </c>
      <c r="D4" s="33" t="s">
        <v>56</v>
      </c>
      <c r="E4" s="33" t="s">
        <v>57</v>
      </c>
      <c r="F4" s="33" t="s">
        <v>58</v>
      </c>
      <c r="G4" s="3" t="s">
        <v>177</v>
      </c>
      <c r="H4" s="12" t="s">
        <v>132</v>
      </c>
      <c r="I4" s="33" t="s">
        <v>6</v>
      </c>
      <c r="J4" s="36">
        <v>1</v>
      </c>
      <c r="K4" s="4">
        <f t="shared" ref="K4:K39" si="0">J4*5</f>
        <v>5</v>
      </c>
      <c r="L4" s="16" t="s">
        <v>30</v>
      </c>
      <c r="M4" s="7">
        <v>1.1299999999999999</v>
      </c>
      <c r="N4" s="7">
        <f t="shared" ref="N4:N39" si="1">M4*J4</f>
        <v>1.1299999999999999</v>
      </c>
      <c r="O4" s="7">
        <v>1.1299999999999999</v>
      </c>
      <c r="P4" s="7">
        <f t="shared" ref="P4:P39" si="2">O4*K4</f>
        <v>5.6499999999999995</v>
      </c>
      <c r="Q4" s="4"/>
      <c r="R4" s="2"/>
      <c r="S4" s="2"/>
    </row>
    <row r="5" spans="1:19" ht="15.75" thickBot="1" x14ac:dyDescent="0.3">
      <c r="A5" s="14">
        <v>3</v>
      </c>
      <c r="B5" s="30"/>
      <c r="C5" s="32" t="s">
        <v>59</v>
      </c>
      <c r="D5" s="33" t="s">
        <v>60</v>
      </c>
      <c r="E5" s="33" t="s">
        <v>53</v>
      </c>
      <c r="F5" s="33" t="s">
        <v>61</v>
      </c>
      <c r="G5" s="3" t="s">
        <v>178</v>
      </c>
      <c r="H5" s="12" t="s">
        <v>132</v>
      </c>
      <c r="I5" s="33" t="s">
        <v>83</v>
      </c>
      <c r="J5" s="36">
        <v>1</v>
      </c>
      <c r="K5" s="4">
        <f t="shared" si="0"/>
        <v>5</v>
      </c>
      <c r="L5" s="16" t="s">
        <v>30</v>
      </c>
      <c r="M5" s="7">
        <v>0.1</v>
      </c>
      <c r="N5" s="7">
        <f t="shared" si="1"/>
        <v>0.1</v>
      </c>
      <c r="O5" s="7">
        <v>0.1</v>
      </c>
      <c r="P5" s="7">
        <f t="shared" si="2"/>
        <v>0.5</v>
      </c>
      <c r="Q5" s="4"/>
      <c r="R5" s="2"/>
      <c r="S5" s="2"/>
    </row>
    <row r="6" spans="1:19" ht="15.75" thickBot="1" x14ac:dyDescent="0.3">
      <c r="A6" s="14">
        <v>4</v>
      </c>
      <c r="B6" s="30"/>
      <c r="C6" s="32" t="s">
        <v>62</v>
      </c>
      <c r="D6" s="33" t="s">
        <v>63</v>
      </c>
      <c r="E6" s="33" t="s">
        <v>53</v>
      </c>
      <c r="F6" s="33" t="s">
        <v>64</v>
      </c>
      <c r="G6" s="3" t="s">
        <v>178</v>
      </c>
      <c r="H6" s="12" t="s">
        <v>132</v>
      </c>
      <c r="I6" s="33" t="s">
        <v>84</v>
      </c>
      <c r="J6" s="36">
        <v>2</v>
      </c>
      <c r="K6" s="4">
        <f t="shared" si="0"/>
        <v>10</v>
      </c>
      <c r="L6" s="16" t="s">
        <v>30</v>
      </c>
      <c r="M6" s="7">
        <v>0.1</v>
      </c>
      <c r="N6" s="7">
        <f t="shared" si="1"/>
        <v>0.2</v>
      </c>
      <c r="O6" s="7">
        <v>3.6999999999999998E-2</v>
      </c>
      <c r="P6" s="7">
        <f t="shared" si="2"/>
        <v>0.37</v>
      </c>
      <c r="Q6" s="4"/>
      <c r="R6" s="2"/>
      <c r="S6" s="2"/>
    </row>
    <row r="7" spans="1:19" ht="30.75" thickBot="1" x14ac:dyDescent="0.3">
      <c r="A7" s="14">
        <v>5</v>
      </c>
      <c r="B7" s="30"/>
      <c r="C7" s="32" t="s">
        <v>65</v>
      </c>
      <c r="D7" s="33" t="s">
        <v>66</v>
      </c>
      <c r="E7" s="33" t="s">
        <v>53</v>
      </c>
      <c r="F7" s="33" t="s">
        <v>67</v>
      </c>
      <c r="G7" s="19" t="s">
        <v>178</v>
      </c>
      <c r="H7" s="12" t="s">
        <v>132</v>
      </c>
      <c r="I7" s="33" t="s">
        <v>4</v>
      </c>
      <c r="J7" s="36">
        <v>14</v>
      </c>
      <c r="K7" s="4">
        <f t="shared" si="0"/>
        <v>70</v>
      </c>
      <c r="L7" s="16" t="s">
        <v>30</v>
      </c>
      <c r="M7" s="7">
        <v>0.19</v>
      </c>
      <c r="N7" s="7">
        <f t="shared" si="1"/>
        <v>2.66</v>
      </c>
      <c r="O7" s="7">
        <v>7.6799999999999993E-2</v>
      </c>
      <c r="P7" s="7">
        <f t="shared" si="2"/>
        <v>5.3759999999999994</v>
      </c>
      <c r="Q7" s="4"/>
      <c r="R7" s="2"/>
      <c r="S7" s="2"/>
    </row>
    <row r="8" spans="1:19" ht="15.75" thickBot="1" x14ac:dyDescent="0.3">
      <c r="A8" s="14">
        <v>6</v>
      </c>
      <c r="B8" s="30"/>
      <c r="C8" s="32" t="s">
        <v>68</v>
      </c>
      <c r="D8" s="33" t="s">
        <v>69</v>
      </c>
      <c r="E8" s="33" t="s">
        <v>31</v>
      </c>
      <c r="F8" s="33" t="s">
        <v>70</v>
      </c>
      <c r="G8" s="3"/>
      <c r="H8" s="12"/>
      <c r="I8" s="33" t="s">
        <v>35</v>
      </c>
      <c r="J8" s="36">
        <v>2</v>
      </c>
      <c r="K8" s="4">
        <f t="shared" si="0"/>
        <v>10</v>
      </c>
      <c r="L8" s="6"/>
      <c r="M8" s="7"/>
      <c r="N8" s="7">
        <f t="shared" si="1"/>
        <v>0</v>
      </c>
      <c r="O8" s="7"/>
      <c r="P8" s="7">
        <f t="shared" si="2"/>
        <v>0</v>
      </c>
      <c r="Q8" s="4"/>
      <c r="R8" s="2"/>
      <c r="S8" s="2"/>
    </row>
    <row r="9" spans="1:19" ht="15.75" thickBot="1" x14ac:dyDescent="0.3">
      <c r="A9" s="14">
        <v>7</v>
      </c>
      <c r="B9" s="30"/>
      <c r="C9" s="37" t="s">
        <v>71</v>
      </c>
      <c r="D9" s="38" t="s">
        <v>72</v>
      </c>
      <c r="E9" s="38" t="s">
        <v>53</v>
      </c>
      <c r="F9" s="38" t="s">
        <v>73</v>
      </c>
      <c r="G9" s="3" t="s">
        <v>178</v>
      </c>
      <c r="H9" s="12" t="s">
        <v>132</v>
      </c>
      <c r="I9" s="33" t="s">
        <v>34</v>
      </c>
      <c r="J9" s="36">
        <v>7</v>
      </c>
      <c r="K9" s="4">
        <f t="shared" si="0"/>
        <v>35</v>
      </c>
      <c r="L9" s="16" t="s">
        <v>30</v>
      </c>
      <c r="M9" s="7">
        <v>0.12</v>
      </c>
      <c r="N9" s="7">
        <f t="shared" si="1"/>
        <v>0.84</v>
      </c>
      <c r="O9" s="7">
        <v>8.4000000000000005E-2</v>
      </c>
      <c r="P9" s="7">
        <f t="shared" si="2"/>
        <v>2.9400000000000004</v>
      </c>
      <c r="Q9" s="4"/>
      <c r="R9" s="2"/>
      <c r="S9" s="2"/>
    </row>
    <row r="10" spans="1:19" ht="15.75" thickBot="1" x14ac:dyDescent="0.3">
      <c r="A10" s="14">
        <v>8</v>
      </c>
      <c r="B10" s="30"/>
      <c r="C10" s="32" t="s">
        <v>74</v>
      </c>
      <c r="D10" s="33" t="s">
        <v>75</v>
      </c>
      <c r="E10" s="33" t="s">
        <v>53</v>
      </c>
      <c r="F10" s="33" t="s">
        <v>76</v>
      </c>
      <c r="G10" s="19" t="s">
        <v>5</v>
      </c>
      <c r="H10" s="12" t="s">
        <v>132</v>
      </c>
      <c r="I10" s="33" t="s">
        <v>7</v>
      </c>
      <c r="J10" s="36">
        <v>2</v>
      </c>
      <c r="K10" s="4">
        <f t="shared" si="0"/>
        <v>10</v>
      </c>
      <c r="L10" s="16" t="s">
        <v>30</v>
      </c>
      <c r="M10" s="7">
        <v>0.36</v>
      </c>
      <c r="N10" s="7">
        <f t="shared" si="1"/>
        <v>0.72</v>
      </c>
      <c r="O10" s="7">
        <v>0.25</v>
      </c>
      <c r="P10" s="7">
        <f t="shared" si="2"/>
        <v>2.5</v>
      </c>
      <c r="Q10" s="4"/>
      <c r="R10" s="2"/>
      <c r="S10" s="2"/>
    </row>
    <row r="11" spans="1:19" ht="15.75" thickBot="1" x14ac:dyDescent="0.3">
      <c r="A11" s="14">
        <v>9</v>
      </c>
      <c r="B11" s="30"/>
      <c r="C11" s="32" t="s">
        <v>77</v>
      </c>
      <c r="D11" s="33" t="s">
        <v>78</v>
      </c>
      <c r="E11" s="33" t="s">
        <v>53</v>
      </c>
      <c r="F11" s="33" t="s">
        <v>79</v>
      </c>
      <c r="G11" s="19" t="s">
        <v>179</v>
      </c>
      <c r="H11" s="12" t="s">
        <v>132</v>
      </c>
      <c r="I11" s="33" t="s">
        <v>85</v>
      </c>
      <c r="J11" s="36">
        <v>2</v>
      </c>
      <c r="K11" s="4">
        <f t="shared" si="0"/>
        <v>10</v>
      </c>
      <c r="L11" s="16" t="s">
        <v>30</v>
      </c>
      <c r="M11" s="7">
        <v>0.1</v>
      </c>
      <c r="N11" s="7">
        <f t="shared" si="1"/>
        <v>0.2</v>
      </c>
      <c r="O11" s="7">
        <v>4.8000000000000001E-2</v>
      </c>
      <c r="P11" s="7">
        <f t="shared" si="2"/>
        <v>0.48</v>
      </c>
      <c r="Q11" s="4"/>
      <c r="R11" s="2"/>
      <c r="S11" s="2"/>
    </row>
    <row r="12" spans="1:19" ht="15.75" thickBot="1" x14ac:dyDescent="0.3">
      <c r="A12" s="14">
        <v>10</v>
      </c>
      <c r="B12" s="31"/>
      <c r="C12" s="32" t="s">
        <v>80</v>
      </c>
      <c r="D12" s="33" t="s">
        <v>81</v>
      </c>
      <c r="E12" s="33" t="s">
        <v>53</v>
      </c>
      <c r="F12" s="33" t="s">
        <v>82</v>
      </c>
      <c r="G12" s="3" t="s">
        <v>180</v>
      </c>
      <c r="H12" s="12" t="s">
        <v>132</v>
      </c>
      <c r="I12" s="33" t="s">
        <v>86</v>
      </c>
      <c r="J12" s="36">
        <v>2</v>
      </c>
      <c r="K12" s="4">
        <f t="shared" si="0"/>
        <v>10</v>
      </c>
      <c r="L12" s="16" t="s">
        <v>30</v>
      </c>
      <c r="M12" s="7">
        <v>0.1</v>
      </c>
      <c r="N12" s="7">
        <f t="shared" si="1"/>
        <v>0.2</v>
      </c>
      <c r="O12" s="7">
        <v>4.9000000000000002E-2</v>
      </c>
      <c r="P12" s="7">
        <f t="shared" si="2"/>
        <v>0.49</v>
      </c>
      <c r="Q12" s="4"/>
      <c r="R12" s="2"/>
      <c r="S12" s="2"/>
    </row>
    <row r="13" spans="1:19" ht="15.75" thickBot="1" x14ac:dyDescent="0.3">
      <c r="A13" s="14">
        <v>11</v>
      </c>
      <c r="B13" s="34" t="s">
        <v>26</v>
      </c>
      <c r="C13" s="32" t="s">
        <v>87</v>
      </c>
      <c r="D13" s="33" t="s">
        <v>88</v>
      </c>
      <c r="E13" s="33" t="s">
        <v>174</v>
      </c>
      <c r="F13" s="33" t="s">
        <v>89</v>
      </c>
      <c r="G13" s="3" t="s">
        <v>181</v>
      </c>
      <c r="H13" s="12" t="s">
        <v>132</v>
      </c>
      <c r="I13" s="3" t="s">
        <v>132</v>
      </c>
      <c r="J13" s="36">
        <v>4</v>
      </c>
      <c r="K13" s="4">
        <f t="shared" si="0"/>
        <v>20</v>
      </c>
      <c r="L13" s="16" t="s">
        <v>30</v>
      </c>
      <c r="M13" s="7">
        <v>0.25</v>
      </c>
      <c r="N13" s="7">
        <f t="shared" si="1"/>
        <v>1</v>
      </c>
      <c r="O13" s="7">
        <v>0.20499999999999999</v>
      </c>
      <c r="P13" s="7">
        <f t="shared" si="2"/>
        <v>4.0999999999999996</v>
      </c>
      <c r="Q13" s="25"/>
      <c r="R13" s="2"/>
      <c r="S13" s="2"/>
    </row>
    <row r="14" spans="1:19" ht="30.75" thickBot="1" x14ac:dyDescent="0.3">
      <c r="A14" s="14">
        <v>12</v>
      </c>
      <c r="B14" s="35"/>
      <c r="C14" s="32" t="s">
        <v>90</v>
      </c>
      <c r="D14" s="33" t="s">
        <v>36</v>
      </c>
      <c r="E14" s="33" t="s">
        <v>175</v>
      </c>
      <c r="F14" s="33" t="s">
        <v>91</v>
      </c>
      <c r="G14" s="3" t="s">
        <v>182</v>
      </c>
      <c r="H14" s="12" t="s">
        <v>132</v>
      </c>
      <c r="I14" s="3" t="s">
        <v>132</v>
      </c>
      <c r="J14" s="36">
        <v>2</v>
      </c>
      <c r="K14" s="4">
        <f t="shared" si="0"/>
        <v>10</v>
      </c>
      <c r="L14" s="16" t="s">
        <v>30</v>
      </c>
      <c r="M14" s="7">
        <v>0.97</v>
      </c>
      <c r="N14" s="7">
        <f t="shared" si="1"/>
        <v>1.94</v>
      </c>
      <c r="O14" s="7">
        <v>0.86399999999999999</v>
      </c>
      <c r="P14" s="7">
        <f t="shared" si="2"/>
        <v>8.64</v>
      </c>
      <c r="Q14" s="4"/>
      <c r="R14" s="2"/>
      <c r="S14" s="2"/>
    </row>
    <row r="15" spans="1:19" ht="15.75" thickBot="1" x14ac:dyDescent="0.3">
      <c r="A15" s="14">
        <v>13</v>
      </c>
      <c r="B15" s="29" t="s">
        <v>41</v>
      </c>
      <c r="C15" s="32" t="s">
        <v>92</v>
      </c>
      <c r="D15" s="33" t="s">
        <v>40</v>
      </c>
      <c r="E15" s="33" t="s">
        <v>31</v>
      </c>
      <c r="F15" s="33" t="s">
        <v>93</v>
      </c>
      <c r="G15" s="3" t="s">
        <v>183</v>
      </c>
      <c r="H15" s="12" t="s">
        <v>132</v>
      </c>
      <c r="I15" s="33" t="s">
        <v>97</v>
      </c>
      <c r="J15" s="5">
        <v>1</v>
      </c>
      <c r="K15" s="4">
        <f t="shared" si="0"/>
        <v>5</v>
      </c>
      <c r="L15" s="16" t="s">
        <v>30</v>
      </c>
      <c r="M15" s="7">
        <v>0.92</v>
      </c>
      <c r="N15" s="7">
        <f t="shared" si="1"/>
        <v>0.92</v>
      </c>
      <c r="O15" s="7"/>
      <c r="P15" s="7">
        <f t="shared" si="2"/>
        <v>0</v>
      </c>
      <c r="Q15" s="4"/>
      <c r="R15" s="2"/>
      <c r="S15" s="2"/>
    </row>
    <row r="16" spans="1:19" ht="15.75" thickBot="1" x14ac:dyDescent="0.3">
      <c r="A16" s="14">
        <v>14</v>
      </c>
      <c r="B16" s="29" t="s">
        <v>39</v>
      </c>
      <c r="C16" s="32" t="s">
        <v>94</v>
      </c>
      <c r="D16" s="33" t="s">
        <v>95</v>
      </c>
      <c r="E16" s="33" t="s">
        <v>45</v>
      </c>
      <c r="F16" s="33" t="s">
        <v>96</v>
      </c>
      <c r="G16" s="15"/>
      <c r="H16" s="26"/>
      <c r="I16" s="15" t="s">
        <v>132</v>
      </c>
      <c r="J16" s="17">
        <v>1</v>
      </c>
      <c r="K16" s="4">
        <f t="shared" si="0"/>
        <v>5</v>
      </c>
      <c r="L16" s="6"/>
      <c r="M16" s="27"/>
      <c r="N16" s="7">
        <f t="shared" si="1"/>
        <v>0</v>
      </c>
      <c r="O16" s="7"/>
      <c r="P16" s="7">
        <f t="shared" si="2"/>
        <v>0</v>
      </c>
      <c r="Q16" s="28"/>
      <c r="R16" s="2"/>
      <c r="S16" s="2"/>
    </row>
    <row r="17" spans="1:19" ht="15.75" thickBot="1" x14ac:dyDescent="0.3">
      <c r="A17" s="14">
        <v>15</v>
      </c>
      <c r="B17" s="35" t="s">
        <v>27</v>
      </c>
      <c r="C17" s="32" t="s">
        <v>98</v>
      </c>
      <c r="D17" s="33" t="s">
        <v>99</v>
      </c>
      <c r="E17" s="33" t="s">
        <v>46</v>
      </c>
      <c r="F17" s="33" t="s">
        <v>100</v>
      </c>
      <c r="G17" s="15"/>
      <c r="H17" s="26"/>
      <c r="I17" s="33" t="s">
        <v>125</v>
      </c>
      <c r="J17" s="36">
        <v>1</v>
      </c>
      <c r="K17" s="4">
        <f t="shared" si="0"/>
        <v>5</v>
      </c>
      <c r="L17" s="6"/>
      <c r="M17" s="27"/>
      <c r="N17" s="7">
        <f t="shared" si="1"/>
        <v>0</v>
      </c>
      <c r="O17" s="7"/>
      <c r="P17" s="7">
        <f t="shared" si="2"/>
        <v>0</v>
      </c>
      <c r="Q17" s="28"/>
      <c r="R17" s="2"/>
      <c r="S17" s="2"/>
    </row>
    <row r="18" spans="1:19" ht="15.75" thickBot="1" x14ac:dyDescent="0.3">
      <c r="A18" s="14">
        <v>16</v>
      </c>
      <c r="B18" s="35"/>
      <c r="C18" s="32" t="s">
        <v>101</v>
      </c>
      <c r="D18" s="33" t="s">
        <v>102</v>
      </c>
      <c r="E18" s="33" t="s">
        <v>46</v>
      </c>
      <c r="F18" s="33" t="s">
        <v>103</v>
      </c>
      <c r="G18" s="3"/>
      <c r="H18" s="3"/>
      <c r="I18" s="33" t="s">
        <v>12</v>
      </c>
      <c r="J18" s="36">
        <v>1</v>
      </c>
      <c r="K18" s="4">
        <f t="shared" si="0"/>
        <v>5</v>
      </c>
      <c r="L18" s="6"/>
      <c r="M18" s="7"/>
      <c r="N18" s="7">
        <f t="shared" si="1"/>
        <v>0</v>
      </c>
      <c r="O18" s="7"/>
      <c r="P18" s="7">
        <f t="shared" si="2"/>
        <v>0</v>
      </c>
      <c r="Q18" s="25"/>
      <c r="R18" s="2"/>
      <c r="S18" s="2"/>
    </row>
    <row r="19" spans="1:19" ht="15.75" thickBot="1" x14ac:dyDescent="0.3">
      <c r="A19" s="14">
        <v>17</v>
      </c>
      <c r="B19" s="35"/>
      <c r="C19" s="32" t="s">
        <v>104</v>
      </c>
      <c r="D19" s="33" t="s">
        <v>37</v>
      </c>
      <c r="E19" s="33" t="s">
        <v>46</v>
      </c>
      <c r="F19" s="33" t="s">
        <v>105</v>
      </c>
      <c r="G19" s="3"/>
      <c r="H19" s="3"/>
      <c r="I19" s="33" t="s">
        <v>126</v>
      </c>
      <c r="J19" s="36">
        <v>1</v>
      </c>
      <c r="K19" s="4">
        <f t="shared" si="0"/>
        <v>5</v>
      </c>
      <c r="L19" s="6"/>
      <c r="M19" s="7"/>
      <c r="N19" s="7">
        <f t="shared" si="1"/>
        <v>0</v>
      </c>
      <c r="O19" s="7"/>
      <c r="P19" s="7">
        <f t="shared" si="2"/>
        <v>0</v>
      </c>
      <c r="Q19" s="25"/>
      <c r="R19" s="2"/>
      <c r="S19" s="2"/>
    </row>
    <row r="20" spans="1:19" ht="15.75" thickBot="1" x14ac:dyDescent="0.3">
      <c r="A20" s="14">
        <v>18</v>
      </c>
      <c r="B20" s="35"/>
      <c r="C20" s="32" t="s">
        <v>106</v>
      </c>
      <c r="D20" s="33" t="s">
        <v>107</v>
      </c>
      <c r="E20" s="33" t="s">
        <v>46</v>
      </c>
      <c r="F20" s="33" t="s">
        <v>108</v>
      </c>
      <c r="G20" s="3"/>
      <c r="H20" s="4"/>
      <c r="I20" s="33" t="s">
        <v>38</v>
      </c>
      <c r="J20" s="36">
        <v>6</v>
      </c>
      <c r="K20" s="4">
        <f t="shared" si="0"/>
        <v>30</v>
      </c>
      <c r="L20" s="6"/>
      <c r="M20" s="7"/>
      <c r="N20" s="7">
        <f t="shared" si="1"/>
        <v>0</v>
      </c>
      <c r="O20" s="7"/>
      <c r="P20" s="7">
        <f t="shared" si="2"/>
        <v>0</v>
      </c>
      <c r="Q20" s="4"/>
      <c r="R20" s="2"/>
      <c r="S20" s="2"/>
    </row>
    <row r="21" spans="1:19" ht="30.75" thickBot="1" x14ac:dyDescent="0.3">
      <c r="A21" s="14">
        <v>19</v>
      </c>
      <c r="B21" s="35"/>
      <c r="C21" s="32" t="s">
        <v>109</v>
      </c>
      <c r="D21" s="33" t="s">
        <v>110</v>
      </c>
      <c r="E21" s="33" t="s">
        <v>111</v>
      </c>
      <c r="F21" s="33" t="s">
        <v>112</v>
      </c>
      <c r="G21" s="3"/>
      <c r="H21" s="3"/>
      <c r="I21" s="33" t="s">
        <v>127</v>
      </c>
      <c r="J21" s="36">
        <v>4</v>
      </c>
      <c r="K21" s="4">
        <f t="shared" si="0"/>
        <v>20</v>
      </c>
      <c r="L21" s="6"/>
      <c r="M21" s="7"/>
      <c r="N21" s="7">
        <f t="shared" si="1"/>
        <v>0</v>
      </c>
      <c r="O21" s="7"/>
      <c r="P21" s="7">
        <f t="shared" si="2"/>
        <v>0</v>
      </c>
      <c r="Q21" s="4"/>
      <c r="R21" s="2"/>
      <c r="S21" s="2"/>
    </row>
    <row r="22" spans="1:19" ht="15.75" thickBot="1" x14ac:dyDescent="0.3">
      <c r="A22" s="14">
        <v>20</v>
      </c>
      <c r="B22" s="35"/>
      <c r="C22" s="32" t="s">
        <v>113</v>
      </c>
      <c r="D22" s="33" t="s">
        <v>114</v>
      </c>
      <c r="E22" s="33" t="s">
        <v>46</v>
      </c>
      <c r="F22" s="33" t="s">
        <v>115</v>
      </c>
      <c r="G22" s="3"/>
      <c r="H22" s="3"/>
      <c r="I22" s="33" t="s">
        <v>128</v>
      </c>
      <c r="J22" s="36">
        <v>4</v>
      </c>
      <c r="K22" s="4">
        <f t="shared" si="0"/>
        <v>20</v>
      </c>
      <c r="L22" s="6"/>
      <c r="M22" s="7"/>
      <c r="N22" s="7">
        <f t="shared" si="1"/>
        <v>0</v>
      </c>
      <c r="O22" s="7"/>
      <c r="P22" s="7">
        <f t="shared" si="2"/>
        <v>0</v>
      </c>
      <c r="Q22" s="4"/>
      <c r="R22" s="2"/>
      <c r="S22" s="2"/>
    </row>
    <row r="23" spans="1:19" ht="15.75" thickBot="1" x14ac:dyDescent="0.3">
      <c r="A23" s="14">
        <v>21</v>
      </c>
      <c r="B23" s="35"/>
      <c r="C23" s="32" t="s">
        <v>116</v>
      </c>
      <c r="D23" s="33" t="s">
        <v>117</v>
      </c>
      <c r="E23" s="33" t="s">
        <v>46</v>
      </c>
      <c r="F23" s="33" t="s">
        <v>118</v>
      </c>
      <c r="G23" s="3"/>
      <c r="H23" s="3"/>
      <c r="I23" s="33" t="s">
        <v>129</v>
      </c>
      <c r="J23" s="36">
        <v>4</v>
      </c>
      <c r="K23" s="4">
        <f t="shared" si="0"/>
        <v>20</v>
      </c>
      <c r="L23" s="6"/>
      <c r="M23" s="7"/>
      <c r="N23" s="7">
        <f t="shared" si="1"/>
        <v>0</v>
      </c>
      <c r="O23" s="7"/>
      <c r="P23" s="7">
        <f t="shared" si="2"/>
        <v>0</v>
      </c>
      <c r="Q23" s="4"/>
      <c r="R23" s="2"/>
      <c r="S23" s="2"/>
    </row>
    <row r="24" spans="1:19" ht="15.75" thickBot="1" x14ac:dyDescent="0.3">
      <c r="A24" s="14">
        <v>22</v>
      </c>
      <c r="B24" s="35"/>
      <c r="C24" s="32" t="s">
        <v>119</v>
      </c>
      <c r="D24" s="33" t="s">
        <v>120</v>
      </c>
      <c r="E24" s="33" t="s">
        <v>46</v>
      </c>
      <c r="F24" s="33" t="s">
        <v>121</v>
      </c>
      <c r="G24" s="3"/>
      <c r="H24" s="3"/>
      <c r="I24" s="33" t="s">
        <v>130</v>
      </c>
      <c r="J24" s="36">
        <v>1</v>
      </c>
      <c r="K24" s="4">
        <f t="shared" si="0"/>
        <v>5</v>
      </c>
      <c r="L24" s="6"/>
      <c r="M24" s="7"/>
      <c r="N24" s="7">
        <f t="shared" si="1"/>
        <v>0</v>
      </c>
      <c r="O24" s="7"/>
      <c r="P24" s="7">
        <f t="shared" si="2"/>
        <v>0</v>
      </c>
      <c r="Q24" s="4"/>
      <c r="R24" s="2"/>
      <c r="S24" s="2"/>
    </row>
    <row r="25" spans="1:19" ht="15.75" thickBot="1" x14ac:dyDescent="0.3">
      <c r="A25" s="14">
        <v>23</v>
      </c>
      <c r="B25" s="35"/>
      <c r="C25" s="32" t="s">
        <v>122</v>
      </c>
      <c r="D25" s="33" t="s">
        <v>123</v>
      </c>
      <c r="E25" s="33" t="s">
        <v>46</v>
      </c>
      <c r="F25" s="33" t="s">
        <v>124</v>
      </c>
      <c r="G25" s="3"/>
      <c r="H25" s="3"/>
      <c r="I25" s="33" t="s">
        <v>131</v>
      </c>
      <c r="J25" s="36">
        <v>1</v>
      </c>
      <c r="K25" s="4">
        <f t="shared" si="0"/>
        <v>5</v>
      </c>
      <c r="L25" s="6"/>
      <c r="M25" s="7"/>
      <c r="N25" s="7">
        <f t="shared" si="1"/>
        <v>0</v>
      </c>
      <c r="O25" s="7"/>
      <c r="P25" s="7">
        <f t="shared" si="2"/>
        <v>0</v>
      </c>
      <c r="Q25" s="4"/>
      <c r="R25" s="2"/>
      <c r="S25" s="2"/>
    </row>
    <row r="26" spans="1:19" ht="15.75" thickBot="1" x14ac:dyDescent="0.3">
      <c r="A26" s="14">
        <v>24</v>
      </c>
      <c r="B26" s="35" t="s">
        <v>146</v>
      </c>
      <c r="C26" s="32" t="s">
        <v>133</v>
      </c>
      <c r="D26" s="33" t="s">
        <v>134</v>
      </c>
      <c r="E26" s="33" t="s">
        <v>31</v>
      </c>
      <c r="F26" s="33" t="s">
        <v>135</v>
      </c>
      <c r="G26" s="3"/>
      <c r="H26" s="3"/>
      <c r="I26" s="3" t="s">
        <v>132</v>
      </c>
      <c r="J26" s="13">
        <v>2</v>
      </c>
      <c r="K26" s="4">
        <f t="shared" si="0"/>
        <v>10</v>
      </c>
      <c r="L26" s="6"/>
      <c r="M26" s="7"/>
      <c r="N26" s="7">
        <f t="shared" si="1"/>
        <v>0</v>
      </c>
      <c r="O26" s="7"/>
      <c r="P26" s="7">
        <f t="shared" si="2"/>
        <v>0</v>
      </c>
      <c r="Q26" s="4"/>
      <c r="R26" s="2"/>
      <c r="S26" s="2"/>
    </row>
    <row r="27" spans="1:19" ht="30.75" thickBot="1" x14ac:dyDescent="0.3">
      <c r="A27" s="14">
        <v>25</v>
      </c>
      <c r="B27" s="35"/>
      <c r="C27" s="32" t="s">
        <v>136</v>
      </c>
      <c r="D27" s="33" t="s">
        <v>137</v>
      </c>
      <c r="E27" s="33" t="s">
        <v>31</v>
      </c>
      <c r="F27" s="33" t="s">
        <v>138</v>
      </c>
      <c r="G27" s="3"/>
      <c r="H27" s="3"/>
      <c r="I27" s="3" t="s">
        <v>132</v>
      </c>
      <c r="J27" s="13">
        <v>1</v>
      </c>
      <c r="K27" s="4">
        <f t="shared" si="0"/>
        <v>5</v>
      </c>
      <c r="L27" s="6"/>
      <c r="M27" s="7"/>
      <c r="N27" s="7">
        <f t="shared" si="1"/>
        <v>0</v>
      </c>
      <c r="O27" s="7"/>
      <c r="P27" s="7">
        <f t="shared" si="2"/>
        <v>0</v>
      </c>
      <c r="Q27" s="4"/>
      <c r="R27" s="2"/>
      <c r="S27" s="2"/>
    </row>
    <row r="28" spans="1:19" ht="45.75" thickBot="1" x14ac:dyDescent="0.3">
      <c r="A28" s="14">
        <v>26</v>
      </c>
      <c r="B28" s="35" t="s">
        <v>147</v>
      </c>
      <c r="C28" s="32" t="s">
        <v>139</v>
      </c>
      <c r="D28" s="33" t="s">
        <v>140</v>
      </c>
      <c r="E28" s="33" t="s">
        <v>31</v>
      </c>
      <c r="F28" s="33" t="s">
        <v>141</v>
      </c>
      <c r="G28" s="3"/>
      <c r="H28" s="3"/>
      <c r="I28" s="38" t="s">
        <v>145</v>
      </c>
      <c r="J28" s="13">
        <v>1</v>
      </c>
      <c r="K28" s="4">
        <f t="shared" si="0"/>
        <v>5</v>
      </c>
      <c r="L28" s="6"/>
      <c r="M28" s="7"/>
      <c r="N28" s="7">
        <f t="shared" si="1"/>
        <v>0</v>
      </c>
      <c r="O28" s="7"/>
      <c r="P28" s="7">
        <f t="shared" si="2"/>
        <v>0</v>
      </c>
      <c r="Q28" s="4"/>
      <c r="R28" s="2"/>
      <c r="S28" s="2"/>
    </row>
    <row r="29" spans="1:19" ht="45.75" thickBot="1" x14ac:dyDescent="0.3">
      <c r="A29" s="14">
        <v>27</v>
      </c>
      <c r="B29" s="35"/>
      <c r="C29" s="32" t="s">
        <v>142</v>
      </c>
      <c r="D29" s="33" t="s">
        <v>143</v>
      </c>
      <c r="E29" s="33" t="s">
        <v>31</v>
      </c>
      <c r="F29" s="33" t="s">
        <v>144</v>
      </c>
      <c r="G29" s="3"/>
      <c r="H29" s="3"/>
      <c r="I29" s="3" t="s">
        <v>172</v>
      </c>
      <c r="J29" s="13">
        <v>1</v>
      </c>
      <c r="K29" s="4">
        <f t="shared" si="0"/>
        <v>5</v>
      </c>
      <c r="L29" s="6"/>
      <c r="M29" s="7"/>
      <c r="N29" s="7">
        <f t="shared" si="1"/>
        <v>0</v>
      </c>
      <c r="O29" s="7"/>
      <c r="P29" s="7">
        <f t="shared" si="2"/>
        <v>0</v>
      </c>
      <c r="Q29" s="4"/>
      <c r="R29" s="2"/>
      <c r="S29" s="2"/>
    </row>
    <row r="30" spans="1:19" ht="15.75" thickBot="1" x14ac:dyDescent="0.3">
      <c r="A30" s="14">
        <v>28</v>
      </c>
      <c r="B30" s="34" t="s">
        <v>28</v>
      </c>
      <c r="C30" s="32" t="s">
        <v>148</v>
      </c>
      <c r="D30" s="33" t="s">
        <v>42</v>
      </c>
      <c r="E30" s="33" t="s">
        <v>149</v>
      </c>
      <c r="F30" s="33" t="s">
        <v>150</v>
      </c>
      <c r="G30" s="3"/>
      <c r="H30" s="3"/>
      <c r="I30" s="3" t="s">
        <v>132</v>
      </c>
      <c r="J30" s="36">
        <v>1</v>
      </c>
      <c r="K30" s="4">
        <f t="shared" si="0"/>
        <v>5</v>
      </c>
      <c r="L30" s="6"/>
      <c r="M30" s="7"/>
      <c r="N30" s="7">
        <f t="shared" si="1"/>
        <v>0</v>
      </c>
      <c r="O30" s="7"/>
      <c r="P30" s="7">
        <f t="shared" si="2"/>
        <v>0</v>
      </c>
      <c r="Q30" s="4"/>
      <c r="R30" s="2"/>
      <c r="S30" s="2"/>
    </row>
    <row r="31" spans="1:19" ht="15.75" thickBot="1" x14ac:dyDescent="0.3">
      <c r="A31" s="14">
        <v>29</v>
      </c>
      <c r="B31" s="35"/>
      <c r="C31" s="32" t="s">
        <v>151</v>
      </c>
      <c r="D31" s="33" t="s">
        <v>43</v>
      </c>
      <c r="E31" s="33" t="s">
        <v>152</v>
      </c>
      <c r="F31" s="33" t="s">
        <v>151</v>
      </c>
      <c r="G31" s="3"/>
      <c r="H31" s="3"/>
      <c r="I31" s="3" t="s">
        <v>132</v>
      </c>
      <c r="J31" s="36">
        <v>1</v>
      </c>
      <c r="K31" s="4">
        <f t="shared" si="0"/>
        <v>5</v>
      </c>
      <c r="L31" s="6"/>
      <c r="M31" s="7"/>
      <c r="N31" s="7">
        <f t="shared" si="1"/>
        <v>0</v>
      </c>
      <c r="O31" s="7"/>
      <c r="P31" s="7">
        <f t="shared" si="2"/>
        <v>0</v>
      </c>
      <c r="Q31" s="4"/>
      <c r="R31" s="2"/>
      <c r="S31" s="2"/>
    </row>
    <row r="32" spans="1:19" ht="15.75" thickBot="1" x14ac:dyDescent="0.3">
      <c r="A32" s="14">
        <v>30</v>
      </c>
      <c r="B32" s="35"/>
      <c r="C32" s="32" t="s">
        <v>153</v>
      </c>
      <c r="D32" s="33" t="s">
        <v>44</v>
      </c>
      <c r="E32" s="33" t="s">
        <v>154</v>
      </c>
      <c r="F32" s="33" t="s">
        <v>155</v>
      </c>
      <c r="G32" s="3"/>
      <c r="H32" s="3"/>
      <c r="I32" s="3" t="s">
        <v>132</v>
      </c>
      <c r="J32" s="36">
        <v>1</v>
      </c>
      <c r="K32" s="4">
        <f t="shared" si="0"/>
        <v>5</v>
      </c>
      <c r="L32" s="6"/>
      <c r="M32" s="7"/>
      <c r="N32" s="7">
        <f t="shared" si="1"/>
        <v>0</v>
      </c>
      <c r="O32" s="7"/>
      <c r="P32" s="7">
        <f t="shared" si="2"/>
        <v>0</v>
      </c>
      <c r="Q32" s="4"/>
      <c r="R32" s="2"/>
      <c r="S32" s="2"/>
    </row>
    <row r="33" spans="1:19" ht="30.75" thickBot="1" x14ac:dyDescent="0.3">
      <c r="A33" s="14">
        <v>31</v>
      </c>
      <c r="B33" s="35"/>
      <c r="C33" s="32" t="s">
        <v>156</v>
      </c>
      <c r="D33" s="33" t="s">
        <v>157</v>
      </c>
      <c r="E33" s="33"/>
      <c r="F33" s="33" t="s">
        <v>158</v>
      </c>
      <c r="G33" s="3"/>
      <c r="H33" s="3"/>
      <c r="I33" s="3" t="s">
        <v>132</v>
      </c>
      <c r="J33" s="36">
        <v>4</v>
      </c>
      <c r="K33" s="4">
        <f t="shared" si="0"/>
        <v>20</v>
      </c>
      <c r="L33" s="6"/>
      <c r="M33" s="7"/>
      <c r="N33" s="7">
        <f t="shared" si="1"/>
        <v>0</v>
      </c>
      <c r="O33" s="7"/>
      <c r="P33" s="7">
        <f t="shared" si="2"/>
        <v>0</v>
      </c>
      <c r="Q33" s="4"/>
      <c r="R33" s="2"/>
      <c r="S33" s="2"/>
    </row>
    <row r="34" spans="1:19" ht="15.75" thickBot="1" x14ac:dyDescent="0.3">
      <c r="A34" s="14">
        <v>32</v>
      </c>
      <c r="B34" s="35"/>
      <c r="C34" s="32" t="s">
        <v>159</v>
      </c>
      <c r="D34" s="33" t="s">
        <v>47</v>
      </c>
      <c r="E34" s="33" t="s">
        <v>160</v>
      </c>
      <c r="F34" s="33" t="s">
        <v>161</v>
      </c>
      <c r="G34" s="3"/>
      <c r="H34" s="3"/>
      <c r="I34" s="3" t="s">
        <v>132</v>
      </c>
      <c r="J34" s="36">
        <v>1</v>
      </c>
      <c r="K34" s="4">
        <f t="shared" si="0"/>
        <v>5</v>
      </c>
      <c r="L34" s="6"/>
      <c r="M34" s="7"/>
      <c r="N34" s="7">
        <f t="shared" si="1"/>
        <v>0</v>
      </c>
      <c r="O34" s="7"/>
      <c r="P34" s="7">
        <f t="shared" si="2"/>
        <v>0</v>
      </c>
      <c r="Q34" s="4"/>
      <c r="R34" s="2"/>
      <c r="S34" s="2"/>
    </row>
    <row r="35" spans="1:19" ht="30.75" thickBot="1" x14ac:dyDescent="0.3">
      <c r="A35" s="14">
        <v>33</v>
      </c>
      <c r="B35" s="39"/>
      <c r="C35" s="32" t="s">
        <v>162</v>
      </c>
      <c r="D35" s="33" t="s">
        <v>163</v>
      </c>
      <c r="E35" s="33"/>
      <c r="F35" s="33" t="s">
        <v>164</v>
      </c>
      <c r="G35" s="3"/>
      <c r="H35" s="3"/>
      <c r="I35" s="3" t="s">
        <v>132</v>
      </c>
      <c r="J35" s="36">
        <v>5</v>
      </c>
      <c r="K35" s="4">
        <f t="shared" si="0"/>
        <v>25</v>
      </c>
      <c r="L35" s="6"/>
      <c r="M35" s="7"/>
      <c r="N35" s="7">
        <f t="shared" si="1"/>
        <v>0</v>
      </c>
      <c r="O35" s="7"/>
      <c r="P35" s="7">
        <f t="shared" si="2"/>
        <v>0</v>
      </c>
      <c r="Q35" s="4"/>
      <c r="R35" s="2"/>
      <c r="S35" s="2"/>
    </row>
    <row r="36" spans="1:19" ht="15.75" thickBot="1" x14ac:dyDescent="0.3">
      <c r="A36" s="14">
        <v>34</v>
      </c>
      <c r="B36" s="34" t="s">
        <v>29</v>
      </c>
      <c r="C36" s="32" t="s">
        <v>48</v>
      </c>
      <c r="D36" s="33" t="s">
        <v>165</v>
      </c>
      <c r="E36" s="33" t="s">
        <v>31</v>
      </c>
      <c r="F36" s="33" t="s">
        <v>166</v>
      </c>
      <c r="G36" s="3"/>
      <c r="H36" s="3"/>
      <c r="I36" s="3" t="s">
        <v>132</v>
      </c>
      <c r="J36" s="36">
        <v>5</v>
      </c>
      <c r="K36" s="4">
        <f t="shared" si="0"/>
        <v>25</v>
      </c>
      <c r="L36" s="6"/>
      <c r="M36" s="7"/>
      <c r="N36" s="7">
        <f t="shared" si="1"/>
        <v>0</v>
      </c>
      <c r="O36" s="7"/>
      <c r="P36" s="7">
        <f t="shared" si="2"/>
        <v>0</v>
      </c>
      <c r="Q36" s="4"/>
      <c r="R36" s="2"/>
      <c r="S36" s="2"/>
    </row>
    <row r="37" spans="1:19" ht="15.75" thickBot="1" x14ac:dyDescent="0.3">
      <c r="A37" s="14">
        <v>35</v>
      </c>
      <c r="B37" s="35"/>
      <c r="C37" s="32" t="s">
        <v>167</v>
      </c>
      <c r="D37" s="33" t="s">
        <v>168</v>
      </c>
      <c r="E37" s="33" t="s">
        <v>31</v>
      </c>
      <c r="F37" s="33" t="s">
        <v>169</v>
      </c>
      <c r="G37" s="3"/>
      <c r="H37" s="3"/>
      <c r="I37" s="3" t="s">
        <v>132</v>
      </c>
      <c r="J37" s="36">
        <v>1</v>
      </c>
      <c r="K37" s="4">
        <f t="shared" si="0"/>
        <v>5</v>
      </c>
      <c r="L37" s="16"/>
      <c r="M37" s="7"/>
      <c r="N37" s="7">
        <f t="shared" si="1"/>
        <v>0</v>
      </c>
      <c r="O37" s="7"/>
      <c r="P37" s="7">
        <f t="shared" si="2"/>
        <v>0</v>
      </c>
      <c r="Q37" s="4"/>
      <c r="R37" s="2"/>
      <c r="S37" s="2"/>
    </row>
    <row r="38" spans="1:19" ht="15.75" thickBot="1" x14ac:dyDescent="0.3">
      <c r="A38" s="14">
        <v>36</v>
      </c>
      <c r="B38" s="35"/>
      <c r="C38" s="32" t="s">
        <v>9</v>
      </c>
      <c r="D38" s="33" t="s">
        <v>10</v>
      </c>
      <c r="E38" s="33" t="s">
        <v>31</v>
      </c>
      <c r="F38" s="33" t="s">
        <v>8</v>
      </c>
      <c r="G38" s="3"/>
      <c r="H38" s="3"/>
      <c r="I38" s="3" t="s">
        <v>173</v>
      </c>
      <c r="J38" s="36">
        <v>1</v>
      </c>
      <c r="K38" s="4">
        <f t="shared" si="0"/>
        <v>5</v>
      </c>
      <c r="L38" s="6"/>
      <c r="M38" s="7"/>
      <c r="N38" s="7">
        <f t="shared" si="1"/>
        <v>0</v>
      </c>
      <c r="O38" s="7"/>
      <c r="P38" s="7">
        <f t="shared" si="2"/>
        <v>0</v>
      </c>
      <c r="Q38" s="4"/>
      <c r="R38" s="2"/>
      <c r="S38" s="2"/>
    </row>
    <row r="39" spans="1:19" x14ac:dyDescent="0.25">
      <c r="A39" s="14">
        <v>37</v>
      </c>
      <c r="B39" s="35"/>
      <c r="C39" s="32" t="s">
        <v>11</v>
      </c>
      <c r="D39" s="33" t="s">
        <v>170</v>
      </c>
      <c r="E39" s="33" t="s">
        <v>31</v>
      </c>
      <c r="F39" s="33" t="s">
        <v>171</v>
      </c>
      <c r="G39" s="3"/>
      <c r="H39" s="3"/>
      <c r="I39" s="3" t="s">
        <v>132</v>
      </c>
      <c r="J39" s="36">
        <v>1</v>
      </c>
      <c r="K39" s="4">
        <f t="shared" si="0"/>
        <v>5</v>
      </c>
      <c r="L39" s="6"/>
      <c r="M39" s="7"/>
      <c r="N39" s="7">
        <f t="shared" si="1"/>
        <v>0</v>
      </c>
      <c r="O39" s="7"/>
      <c r="P39" s="7">
        <f t="shared" si="2"/>
        <v>0</v>
      </c>
      <c r="Q39" s="25"/>
      <c r="R39" s="2"/>
      <c r="S39" s="2"/>
    </row>
    <row r="40" spans="1:19" ht="19.5" thickBot="1" x14ac:dyDescent="0.35">
      <c r="K40" s="20" t="s">
        <v>32</v>
      </c>
      <c r="L40" s="20"/>
      <c r="M40" s="20"/>
      <c r="N40" s="20"/>
      <c r="O40" s="8"/>
      <c r="P40" s="18" t="e">
        <f>SUM(P18:P39,#REF!)</f>
        <v>#REF!</v>
      </c>
      <c r="R40" s="2"/>
      <c r="S40" s="2"/>
    </row>
    <row r="41" spans="1:19" ht="18.75" x14ac:dyDescent="0.3">
      <c r="K41" s="21" t="s">
        <v>33</v>
      </c>
      <c r="L41" s="21"/>
      <c r="M41" s="21"/>
      <c r="N41" s="21"/>
      <c r="O41" s="9">
        <f ca="1">SUM(O18:O44)</f>
        <v>198.42500000000001</v>
      </c>
      <c r="P41" s="10" t="e">
        <f>P40/5</f>
        <v>#REF!</v>
      </c>
      <c r="R41" s="2"/>
      <c r="S41" s="2"/>
    </row>
    <row r="42" spans="1:19" x14ac:dyDescent="0.25">
      <c r="R42" s="2"/>
      <c r="S42" s="2"/>
    </row>
    <row r="43" spans="1:19" x14ac:dyDescent="0.25">
      <c r="R43" s="2"/>
      <c r="S43" s="2"/>
    </row>
    <row r="44" spans="1:19" x14ac:dyDescent="0.25">
      <c r="R44" s="2"/>
      <c r="S44" s="2"/>
    </row>
    <row r="45" spans="1:19" x14ac:dyDescent="0.25">
      <c r="R45" s="2"/>
      <c r="S45" s="2"/>
    </row>
    <row r="46" spans="1:19" x14ac:dyDescent="0.25">
      <c r="R46" s="2"/>
      <c r="S46" s="2"/>
    </row>
    <row r="47" spans="1:19" x14ac:dyDescent="0.25">
      <c r="R47" s="2"/>
      <c r="S47" s="2"/>
    </row>
    <row r="48" spans="1:19" x14ac:dyDescent="0.25">
      <c r="R48" s="2"/>
      <c r="S48" s="2"/>
    </row>
    <row r="49" spans="18:19" x14ac:dyDescent="0.25">
      <c r="R49" s="2"/>
      <c r="S49" s="2"/>
    </row>
    <row r="50" spans="18:19" x14ac:dyDescent="0.25">
      <c r="R50" s="2"/>
      <c r="S50" s="2"/>
    </row>
    <row r="51" spans="18:19" x14ac:dyDescent="0.25">
      <c r="R51" s="2"/>
      <c r="S51" s="2"/>
    </row>
    <row r="52" spans="18:19" x14ac:dyDescent="0.25">
      <c r="R52" s="2"/>
      <c r="S52" s="2"/>
    </row>
    <row r="53" spans="18:19" x14ac:dyDescent="0.25">
      <c r="R53" s="2"/>
      <c r="S53" s="2"/>
    </row>
    <row r="54" spans="18:19" x14ac:dyDescent="0.25">
      <c r="R54" s="2"/>
      <c r="S54" s="2"/>
    </row>
    <row r="55" spans="18:19" x14ac:dyDescent="0.25">
      <c r="R55" s="2"/>
      <c r="S55" s="2"/>
    </row>
    <row r="56" spans="18:19" ht="15.75" customHeight="1" x14ac:dyDescent="0.25">
      <c r="R56" s="2"/>
      <c r="S56" s="2"/>
    </row>
    <row r="57" spans="18:19" ht="15.75" customHeight="1" x14ac:dyDescent="0.25">
      <c r="R57" s="2"/>
      <c r="S57" s="2"/>
    </row>
    <row r="58" spans="18:19" ht="15.75" customHeight="1" x14ac:dyDescent="0.25">
      <c r="R58" s="2"/>
      <c r="S58" s="2"/>
    </row>
    <row r="59" spans="18:19" x14ac:dyDescent="0.25">
      <c r="R59" s="2"/>
      <c r="S59" s="2"/>
    </row>
    <row r="60" spans="18:19" x14ac:dyDescent="0.25">
      <c r="R60" s="2"/>
      <c r="S60" s="2"/>
    </row>
  </sheetData>
  <mergeCells count="9">
    <mergeCell ref="B36:B39"/>
    <mergeCell ref="K40:N40"/>
    <mergeCell ref="K41:N41"/>
    <mergeCell ref="A1:Q1"/>
    <mergeCell ref="B13:B14"/>
    <mergeCell ref="B17:B25"/>
    <mergeCell ref="B26:B27"/>
    <mergeCell ref="B28:B29"/>
    <mergeCell ref="B30:B35"/>
  </mergeCells>
  <conditionalFormatting sqref="Q3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Q18:Q19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Q13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O41:P41">
    <cfRule type="dataBar" priority="9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N3:N39"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K3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K39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9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hyperlinks>
    <hyperlink ref="L3" r:id="rId1"/>
    <hyperlink ref="L4" r:id="rId2"/>
    <hyperlink ref="L5" r:id="rId3"/>
    <hyperlink ref="L6" r:id="rId4"/>
    <hyperlink ref="L7" r:id="rId5"/>
    <hyperlink ref="L9" r:id="rId6"/>
    <hyperlink ref="L10" r:id="rId7"/>
    <hyperlink ref="L11" r:id="rId8"/>
    <hyperlink ref="L12" r:id="rId9"/>
    <hyperlink ref="L13" r:id="rId10"/>
    <hyperlink ref="L14" r:id="rId11"/>
    <hyperlink ref="L15" r:id="rId12"/>
  </hyperlinks>
  <pageMargins left="0.7" right="0.7" top="0.75" bottom="0.75" header="0.3" footer="0.3"/>
  <pageSetup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Q18:Q19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Q13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O41:P41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N3:N39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Refrence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2021-10-14T12:06:33Z</dcterms:modified>
</cp:coreProperties>
</file>