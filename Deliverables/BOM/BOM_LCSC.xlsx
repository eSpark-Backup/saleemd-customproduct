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eSpark-35\Desktop\"/>
    </mc:Choice>
  </mc:AlternateContent>
  <bookViews>
    <workbookView xWindow="0" yWindow="0" windowWidth="28800" windowHeight="123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7" i="1" l="1"/>
  <c r="S7" i="1"/>
  <c r="P52" i="1" l="1"/>
  <c r="P36" i="1" l="1"/>
  <c r="P4" i="1" l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3" i="1"/>
  <c r="P56" i="1"/>
  <c r="P57" i="1"/>
  <c r="P58" i="1"/>
  <c r="P59" i="1"/>
  <c r="P60" i="1"/>
  <c r="P61" i="1"/>
  <c r="P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3" i="1"/>
  <c r="Q3" i="1"/>
  <c r="Q62" i="1" l="1"/>
  <c r="M4" i="1"/>
  <c r="S4" i="1" s="1"/>
  <c r="M5" i="1"/>
  <c r="S5" i="1" s="1"/>
  <c r="M6" i="1"/>
  <c r="S6" i="1" s="1"/>
  <c r="M7" i="1"/>
  <c r="M8" i="1"/>
  <c r="S8" i="1" s="1"/>
  <c r="M9" i="1"/>
  <c r="S9" i="1" s="1"/>
  <c r="M10" i="1"/>
  <c r="S10" i="1" s="1"/>
  <c r="M11" i="1"/>
  <c r="S11" i="1" s="1"/>
  <c r="M12" i="1"/>
  <c r="S12" i="1" s="1"/>
  <c r="M13" i="1"/>
  <c r="S13" i="1" s="1"/>
  <c r="M14" i="1"/>
  <c r="S14" i="1" s="1"/>
  <c r="M15" i="1"/>
  <c r="S15" i="1" s="1"/>
  <c r="M16" i="1"/>
  <c r="S16" i="1" s="1"/>
  <c r="M17" i="1"/>
  <c r="M18" i="1"/>
  <c r="S18" i="1" s="1"/>
  <c r="M19" i="1"/>
  <c r="S19" i="1" s="1"/>
  <c r="M20" i="1"/>
  <c r="S20" i="1" s="1"/>
  <c r="M21" i="1"/>
  <c r="S21" i="1" s="1"/>
  <c r="M22" i="1"/>
  <c r="S22" i="1" s="1"/>
  <c r="M23" i="1"/>
  <c r="S23" i="1" s="1"/>
  <c r="M24" i="1"/>
  <c r="S24" i="1" s="1"/>
  <c r="M25" i="1"/>
  <c r="S25" i="1" s="1"/>
  <c r="M26" i="1"/>
  <c r="S26" i="1" s="1"/>
  <c r="M27" i="1"/>
  <c r="S27" i="1" s="1"/>
  <c r="M28" i="1"/>
  <c r="S28" i="1" s="1"/>
  <c r="M29" i="1"/>
  <c r="S29" i="1" s="1"/>
  <c r="M30" i="1"/>
  <c r="S30" i="1" s="1"/>
  <c r="M31" i="1"/>
  <c r="S31" i="1" s="1"/>
  <c r="M32" i="1"/>
  <c r="S32" i="1" s="1"/>
  <c r="M33" i="1"/>
  <c r="S33" i="1" s="1"/>
  <c r="M34" i="1"/>
  <c r="S34" i="1" s="1"/>
  <c r="M35" i="1"/>
  <c r="S35" i="1" s="1"/>
  <c r="M36" i="1"/>
  <c r="S36" i="1" s="1"/>
  <c r="M37" i="1"/>
  <c r="S37" i="1" s="1"/>
  <c r="M38" i="1"/>
  <c r="S38" i="1" s="1"/>
  <c r="M39" i="1"/>
  <c r="S39" i="1" s="1"/>
  <c r="M40" i="1"/>
  <c r="S40" i="1" s="1"/>
  <c r="M41" i="1"/>
  <c r="S41" i="1" s="1"/>
  <c r="M42" i="1"/>
  <c r="S42" i="1" s="1"/>
  <c r="M43" i="1"/>
  <c r="S43" i="1" s="1"/>
  <c r="M44" i="1"/>
  <c r="S44" i="1" s="1"/>
  <c r="M45" i="1"/>
  <c r="S45" i="1" s="1"/>
  <c r="M46" i="1"/>
  <c r="S46" i="1" s="1"/>
  <c r="M47" i="1"/>
  <c r="S47" i="1" s="1"/>
  <c r="M48" i="1"/>
  <c r="S48" i="1" s="1"/>
  <c r="M49" i="1"/>
  <c r="S49" i="1" s="1"/>
  <c r="M50" i="1"/>
  <c r="S50" i="1" s="1"/>
  <c r="M51" i="1"/>
  <c r="S51" i="1" s="1"/>
  <c r="M52" i="1"/>
  <c r="S52" i="1" s="1"/>
  <c r="M53" i="1"/>
  <c r="S53" i="1" s="1"/>
  <c r="M56" i="1"/>
  <c r="S56" i="1" s="1"/>
  <c r="M57" i="1"/>
  <c r="S57" i="1" s="1"/>
  <c r="M58" i="1"/>
  <c r="S58" i="1" s="1"/>
  <c r="M59" i="1"/>
  <c r="S59" i="1" s="1"/>
  <c r="M60" i="1"/>
  <c r="S60" i="1" s="1"/>
  <c r="M61" i="1"/>
  <c r="S61" i="1" s="1"/>
  <c r="M3" i="1"/>
  <c r="S3" i="1" s="1"/>
  <c r="P63" i="1" l="1"/>
  <c r="S62" i="1"/>
  <c r="S63" i="1" s="1"/>
</calcChain>
</file>

<file path=xl/sharedStrings.xml><?xml version="1.0" encoding="utf-8"?>
<sst xmlns="http://schemas.openxmlformats.org/spreadsheetml/2006/main" count="596" uniqueCount="376">
  <si>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</si>
  <si>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</si>
  <si>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</si>
  <si>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</si>
  <si>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</si>
  <si>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</si>
  <si>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</si>
  <si>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</si>
  <si>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</si>
  <si>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</si>
  <si>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</si>
  <si>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</si>
  <si>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</si>
  <si>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</si>
  <si>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</si>
  <si>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</si>
  <si>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</si>
  <si>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</si>
  <si>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Capacitor</t>
  </si>
  <si>
    <t>CAP CER 0.1UF 50V X5R 0402</t>
  </si>
  <si>
    <t>C5, C9, C13, C17, C23, C32</t>
  </si>
  <si>
    <t>Cap0402</t>
  </si>
  <si>
    <t>C1005X5R1H104K050BB</t>
  </si>
  <si>
    <t>TDK</t>
  </si>
  <si>
    <t>C1581</t>
  </si>
  <si>
    <t>0402F104M500NT</t>
  </si>
  <si>
    <t>0.1uF</t>
  </si>
  <si>
    <t>LCSC</t>
  </si>
  <si>
    <t>CAP CER 47UF 25V X5R 1206</t>
  </si>
  <si>
    <t>C6, C7, C24, C29, C30, C31</t>
  </si>
  <si>
    <t>Cap1206</t>
  </si>
  <si>
    <t>C3216X5R1E476M160AC</t>
  </si>
  <si>
    <t>C403725</t>
  </si>
  <si>
    <t>GRM31CR61E476ME44L</t>
  </si>
  <si>
    <t>47uF</t>
  </si>
  <si>
    <t>CAP CER 4.7UF 50V X7R 1206</t>
  </si>
  <si>
    <t>C1, C14, C15, C28, CF5</t>
  </si>
  <si>
    <t>C3216X7R1H475K160AC</t>
  </si>
  <si>
    <t>C77096</t>
  </si>
  <si>
    <t xml:space="preserve">GRM31CR71H475KA12L
</t>
  </si>
  <si>
    <t>4.7uF</t>
  </si>
  <si>
    <t>CAP CER 0.22UF 50V X7R 1206</t>
  </si>
  <si>
    <t>C2, C3</t>
  </si>
  <si>
    <t>VJ1206Y224KXAMT</t>
  </si>
  <si>
    <t>Vishay Vitramon</t>
  </si>
  <si>
    <t>C107186</t>
  </si>
  <si>
    <t>CC1206KKX7R9BB224</t>
  </si>
  <si>
    <t>220nF</t>
  </si>
  <si>
    <t>C4, C10, C11, C21, C36, CF3, CF4</t>
  </si>
  <si>
    <t>UMK105CBJ105MV-F</t>
  </si>
  <si>
    <t>Taiyo Yuden</t>
  </si>
  <si>
    <t>1uF</t>
  </si>
  <si>
    <t>CAP CER 22UF 25V X5R 1206</t>
  </si>
  <si>
    <t>C8</t>
  </si>
  <si>
    <t>C3216X5R1E226M160AB</t>
  </si>
  <si>
    <t>C338055</t>
  </si>
  <si>
    <t xml:space="preserve">C3216X5R1E226KTJ00N
</t>
  </si>
  <si>
    <t>22uF</t>
  </si>
  <si>
    <t>CAP CER 10UF 35V X5R 0805</t>
  </si>
  <si>
    <t>C16, C20</t>
  </si>
  <si>
    <t>Cap0805</t>
  </si>
  <si>
    <t>GRM21BR6YA106ME43L</t>
  </si>
  <si>
    <t>Murata</t>
  </si>
  <si>
    <t>10uF</t>
  </si>
  <si>
    <t>CAP ALUM 470UF 20% 25V SMD</t>
  </si>
  <si>
    <t>C18, C19, CF6</t>
  </si>
  <si>
    <t>Custom</t>
  </si>
  <si>
    <t>KEMET</t>
  </si>
  <si>
    <t>C193277</t>
  </si>
  <si>
    <t>EEEFT1E471GP</t>
  </si>
  <si>
    <t>470uF</t>
  </si>
  <si>
    <t>CAP ALUM 10UF 20% 25V SMD</t>
  </si>
  <si>
    <t>C12</t>
  </si>
  <si>
    <t>C178538</t>
  </si>
  <si>
    <t>EEEFK1E100R</t>
  </si>
  <si>
    <t>CAP CER 33PF 25V C0G/NP0 0402</t>
  </si>
  <si>
    <t>C33, C34, C35</t>
  </si>
  <si>
    <t>GRM1555C1E330JA01D</t>
  </si>
  <si>
    <t>C441758</t>
  </si>
  <si>
    <t xml:space="preserve">GRM1555C1E330JA01D
</t>
  </si>
  <si>
    <t>33pF</t>
  </si>
  <si>
    <t>Diode</t>
  </si>
  <si>
    <t>LED GREEN CLEAR CHIP SMD</t>
  </si>
  <si>
    <t>LED2, LED3, LED4, LEDx1</t>
  </si>
  <si>
    <t>LED 0402</t>
  </si>
  <si>
    <t>XZVG68W-2</t>
  </si>
  <si>
    <t>SunLED</t>
  </si>
  <si>
    <t>C917188</t>
  </si>
  <si>
    <t xml:space="preserve">TJ-S1005CL4T5ALC2G-A5
</t>
  </si>
  <si>
    <t>---------</t>
  </si>
  <si>
    <t>DIODE SCHOTTKY 40V 3A SMA</t>
  </si>
  <si>
    <t>D5, D6</t>
  </si>
  <si>
    <t>DO-214AC</t>
  </si>
  <si>
    <t>CMSH3-40MA TR13 PBFREE</t>
  </si>
  <si>
    <t>Central Semiconductor</t>
  </si>
  <si>
    <t>C408258</t>
  </si>
  <si>
    <t>SS34</t>
  </si>
  <si>
    <t>Diode Switching 50V 1A 2-Pin SMA T/R</t>
  </si>
  <si>
    <t>D7</t>
  </si>
  <si>
    <t>SMA</t>
  </si>
  <si>
    <t>S1A-13-F</t>
  </si>
  <si>
    <t>Diodes</t>
  </si>
  <si>
    <t>C150735</t>
  </si>
  <si>
    <t>Inductor</t>
  </si>
  <si>
    <t>FIXED IND 6.8UH 5A 48 MOHM SMD</t>
  </si>
  <si>
    <t>L1</t>
  </si>
  <si>
    <t>0630CDMCCDS-6R8MC</t>
  </si>
  <si>
    <t>Sumida</t>
  </si>
  <si>
    <t>C167295</t>
  </si>
  <si>
    <t>-------</t>
  </si>
  <si>
    <t>6.8uH</t>
  </si>
  <si>
    <t>FIXED IND 10UH 2.5A 43.7 MOHM</t>
  </si>
  <si>
    <t>L2</t>
  </si>
  <si>
    <t>SLF10145T-100M2R5-PF</t>
  </si>
  <si>
    <t>10uH</t>
  </si>
  <si>
    <t>NON Stock in LCSC</t>
  </si>
  <si>
    <t>Mosfet</t>
  </si>
  <si>
    <t>MOSFET N-CH 20V 630MA SOT523</t>
  </si>
  <si>
    <t>Q1, Q2, Q3</t>
  </si>
  <si>
    <t>SOT-523</t>
  </si>
  <si>
    <t>DMG1012T-7</t>
  </si>
  <si>
    <t>C20512</t>
  </si>
  <si>
    <t>MOSFET N-CH 50V 200MA SOT-23</t>
  </si>
  <si>
    <t>Q4, Q5</t>
  </si>
  <si>
    <t>sot-23</t>
  </si>
  <si>
    <t>BSS138LT1G</t>
  </si>
  <si>
    <t>ON Semiconductor</t>
  </si>
  <si>
    <t>------</t>
  </si>
  <si>
    <t>Resistor</t>
  </si>
  <si>
    <t>RES SMD 47K OHM 1% 1/5W 0402</t>
  </si>
  <si>
    <t>R20, R21, R31</t>
  </si>
  <si>
    <t>Res0402</t>
  </si>
  <si>
    <t>RCS040247K0FKED</t>
  </si>
  <si>
    <t>Vishay Dale</t>
  </si>
  <si>
    <t>C427250</t>
  </si>
  <si>
    <t>ERJPA2F4702X</t>
  </si>
  <si>
    <t>47K</t>
  </si>
  <si>
    <t>RES SMD 1.8K OHM 1% 1/5W 0402</t>
  </si>
  <si>
    <t>R23, R24, R25, R26</t>
  </si>
  <si>
    <t>RCS04021K80FKED</t>
  </si>
  <si>
    <t>C159960</t>
  </si>
  <si>
    <t>RK73H1ETTP1801F</t>
  </si>
  <si>
    <t>1.8K</t>
  </si>
  <si>
    <t>RES SMD 0 OHM JUMPER 1/5W 0402</t>
  </si>
  <si>
    <t>R27, R28, R29</t>
  </si>
  <si>
    <t>RCS04020000Z0ED</t>
  </si>
  <si>
    <t>C106231</t>
  </si>
  <si>
    <t>RC0402FR-070RL</t>
  </si>
  <si>
    <t>0R</t>
  </si>
  <si>
    <t>RES SMD 24.9K OHM 1% 1/5W 0402</t>
  </si>
  <si>
    <t>R3</t>
  </si>
  <si>
    <t>RCS040224K9FKED</t>
  </si>
  <si>
    <t>C102925</t>
  </si>
  <si>
    <t>RTT022492FTH</t>
  </si>
  <si>
    <t>24.9K</t>
  </si>
  <si>
    <t>RES SMD 301K OHM 1% 1/5W 0402</t>
  </si>
  <si>
    <t>R4</t>
  </si>
  <si>
    <t>RCS0402301KFKED</t>
  </si>
  <si>
    <t xml:space="preserve">C25775
</t>
  </si>
  <si>
    <t>0402WGF3013TCE</t>
  </si>
  <si>
    <t>301K</t>
  </si>
  <si>
    <t>RES 0.05 OHM 1% 1/2W 1206</t>
  </si>
  <si>
    <t>R6</t>
  </si>
  <si>
    <t>Res1206</t>
  </si>
  <si>
    <t>CSR1206FK50L0</t>
  </si>
  <si>
    <t>Stackpole Electronics</t>
  </si>
  <si>
    <t>C149662</t>
  </si>
  <si>
    <t>CR1206FR050P05R</t>
  </si>
  <si>
    <t>0.05R</t>
  </si>
  <si>
    <t>RES SMD 536K OHM 1% 1/10W 0402</t>
  </si>
  <si>
    <t>R7</t>
  </si>
  <si>
    <t>ERJ-2RKF5363X</t>
  </si>
  <si>
    <t>Panasonic</t>
  </si>
  <si>
    <t>C68457</t>
  </si>
  <si>
    <t>0402WGF5363TCE</t>
  </si>
  <si>
    <t>536K</t>
  </si>
  <si>
    <t>RES SMD 453K OHM 1% 1/10W 0402</t>
  </si>
  <si>
    <t>R8</t>
  </si>
  <si>
    <t>ERJ-2RKF4533X</t>
  </si>
  <si>
    <t>C27009</t>
  </si>
  <si>
    <t>0402WGF4533TCE</t>
  </si>
  <si>
    <t>453K</t>
  </si>
  <si>
    <t>RES SMD 5.1 KOHM 1% 1/5W 0402</t>
  </si>
  <si>
    <t>R9, R10, R11, R12</t>
  </si>
  <si>
    <t>ERJ-PA2F5101X</t>
  </si>
  <si>
    <t>C25941</t>
  </si>
  <si>
    <t>0402WGJ0512TCE</t>
  </si>
  <si>
    <t>5.1K</t>
  </si>
  <si>
    <t>RES 10K OHM 1% 1/5W 0402</t>
  </si>
  <si>
    <t>R18, R39, R40, R41, R42, RF3, RF7, RF10, RF11</t>
  </si>
  <si>
    <t>SR0402FR-7T10KL</t>
  </si>
  <si>
    <t>Yageo</t>
  </si>
  <si>
    <t>C60489</t>
  </si>
  <si>
    <t xml:space="preserve">RC0402JR-0710KL
</t>
  </si>
  <si>
    <t>10K</t>
  </si>
  <si>
    <t>RES SMD 300K OHM 1% 1/5W 0402</t>
  </si>
  <si>
    <t>R16, R17</t>
  </si>
  <si>
    <t>RCS0402300KFKED</t>
  </si>
  <si>
    <t>300K</t>
  </si>
  <si>
    <t>RES 100K OHM 1% 1/5W 0402</t>
  </si>
  <si>
    <t>R1, R2, R5, R32, R35, R36, R37, R38</t>
  </si>
  <si>
    <t>SR0402FR-7T100KL</t>
  </si>
  <si>
    <t>C427253</t>
  </si>
  <si>
    <t>ERJPA2F1003X</t>
  </si>
  <si>
    <t>100K</t>
  </si>
  <si>
    <t>RES SMD 470 OHM 1% 1/5W 0402</t>
  </si>
  <si>
    <t>R33, RF1</t>
  </si>
  <si>
    <t>ERJ-PA2F4700X</t>
  </si>
  <si>
    <t>C427238</t>
  </si>
  <si>
    <t>-----------</t>
  </si>
  <si>
    <t>470R</t>
  </si>
  <si>
    <t>RES SMD 15K OHM 1% 1/5W 0402</t>
  </si>
  <si>
    <t>R34</t>
  </si>
  <si>
    <t>ERJ-PA2F1502X</t>
  </si>
  <si>
    <t>C413097</t>
  </si>
  <si>
    <t>ERJ2RKF1502X</t>
  </si>
  <si>
    <t>15K</t>
  </si>
  <si>
    <t xml:space="preserve">RES SMD 2.21M OHM 1% 1/10W 0603
</t>
  </si>
  <si>
    <t>RC1</t>
  </si>
  <si>
    <t>Res0603</t>
  </si>
  <si>
    <t>RTT032214FTP</t>
  </si>
  <si>
    <t>C166858</t>
  </si>
  <si>
    <t>2.21M</t>
  </si>
  <si>
    <t>RES SMD 1M OHM 5% 1/16W 0402</t>
  </si>
  <si>
    <t>RC2</t>
  </si>
  <si>
    <t>AF0402JR-071ML</t>
  </si>
  <si>
    <t>C144054</t>
  </si>
  <si>
    <t>1M</t>
  </si>
  <si>
    <t>Ics</t>
  </si>
  <si>
    <t>AUTOMOTIVE 36-V, 4-A SYNCHRONOUS</t>
  </si>
  <si>
    <t>U1</t>
  </si>
  <si>
    <t xml:space="preserve">13-WQFN-HR (3x2)
</t>
  </si>
  <si>
    <t>LM60440AQRPKRQ1</t>
  </si>
  <si>
    <t>Texas Instruments</t>
  </si>
  <si>
    <t>IC REG LINEAR 3.3V 3A TO263-3</t>
  </si>
  <si>
    <t>U2</t>
  </si>
  <si>
    <t xml:space="preserve">TO-263-3 </t>
  </si>
  <si>
    <t>MIC29300-3.3WU-TR</t>
  </si>
  <si>
    <t>Microchip</t>
  </si>
  <si>
    <t>C481370</t>
  </si>
  <si>
    <t>IC REG LINEAR 1.8V 300MA 4UDFN</t>
  </si>
  <si>
    <t>U3</t>
  </si>
  <si>
    <t>4UDFN</t>
  </si>
  <si>
    <t>NCP114BMX180TCG</t>
  </si>
  <si>
    <t>C457759</t>
  </si>
  <si>
    <t xml:space="preserve">IC BATT CHG MULTI-CHEM 12DFN
</t>
  </si>
  <si>
    <t>U4</t>
  </si>
  <si>
    <t xml:space="preserve">12-DFN (3x3)
</t>
  </si>
  <si>
    <t>LT3652EDD#PBF</t>
  </si>
  <si>
    <t>Analog Devices</t>
  </si>
  <si>
    <t>C96510</t>
  </si>
  <si>
    <t>IC ADC 16BIT SIGMA-DELTA 10VSSOP</t>
  </si>
  <si>
    <t>U8</t>
  </si>
  <si>
    <t>10VSSOP</t>
  </si>
  <si>
    <t>ADS1115IDGSR</t>
  </si>
  <si>
    <t>Aliexpress</t>
  </si>
  <si>
    <t>IC USB SWITCH DPDT 10UMLP</t>
  </si>
  <si>
    <t>U6</t>
  </si>
  <si>
    <t>10UMLP</t>
  </si>
  <si>
    <t>FSUSB42UMX</t>
  </si>
  <si>
    <t>C11145</t>
  </si>
  <si>
    <t>MOSFET N/P-CH 30V 8SOIC</t>
  </si>
  <si>
    <t>U7</t>
  </si>
  <si>
    <t xml:space="preserve">8-SO
</t>
  </si>
  <si>
    <t>IRF7319TRPBF</t>
  </si>
  <si>
    <t>International Rectifier</t>
  </si>
  <si>
    <t>C2760082</t>
  </si>
  <si>
    <t>Connector</t>
  </si>
  <si>
    <t>CONN HEADER VERT 3POS 2.54MM</t>
  </si>
  <si>
    <t>PF1, PF2</t>
  </si>
  <si>
    <t>61300311121</t>
  </si>
  <si>
    <t>Wurth Electronics</t>
  </si>
  <si>
    <t>C390679</t>
  </si>
  <si>
    <t xml:space="preserve">210-91-03GB01
</t>
  </si>
  <si>
    <t>CONN HEADER VERT 2POS 2.54MM</t>
  </si>
  <si>
    <t>PF3</t>
  </si>
  <si>
    <t>61300211121</t>
  </si>
  <si>
    <t>C390678</t>
  </si>
  <si>
    <t xml:space="preserve">210-91-02GB01
</t>
  </si>
  <si>
    <t>CONN PCI EXP MINI FEMALE 52POS</t>
  </si>
  <si>
    <t>J1</t>
  </si>
  <si>
    <t>0679100002</t>
  </si>
  <si>
    <t>Molex</t>
  </si>
  <si>
    <t>C192736</t>
  </si>
  <si>
    <t>CONN FFC 22POS 0.50MM SMD</t>
  </si>
  <si>
    <t>J3, J5</t>
  </si>
  <si>
    <t>TF31-22S-0.5SH(800)</t>
  </si>
  <si>
    <t>Hirose</t>
  </si>
  <si>
    <t>C596725</t>
  </si>
  <si>
    <t>CONN SKT SODIMM 200POS R/A SMD</t>
  </si>
  <si>
    <t>J4</t>
  </si>
  <si>
    <t>1565917-4</t>
  </si>
  <si>
    <t>TE Connectivity</t>
  </si>
  <si>
    <t>C279171</t>
  </si>
  <si>
    <t>--------</t>
  </si>
  <si>
    <t>CONN MICRO SD CARD PUSH-PULL R/A</t>
  </si>
  <si>
    <t>J6</t>
  </si>
  <si>
    <t>114-00841-68</t>
  </si>
  <si>
    <t>AMPHENOL ICC</t>
  </si>
  <si>
    <t>CONN RCPT USB2.0 MICRO B SMD R/A</t>
  </si>
  <si>
    <t>J10</t>
  </si>
  <si>
    <t>10118192-0001LF</t>
  </si>
  <si>
    <t>Amphenol FCI</t>
  </si>
  <si>
    <t>C132564</t>
  </si>
  <si>
    <t>CONN RCPT USB2.0 TYPEA 4POS R/A</t>
  </si>
  <si>
    <t>J12</t>
  </si>
  <si>
    <t>61400416021</t>
  </si>
  <si>
    <t>C2346</t>
  </si>
  <si>
    <t>901-211A1021D10100</t>
  </si>
  <si>
    <t>CONN FFC FPC TOP 15POS 1MM R/A</t>
  </si>
  <si>
    <t>J13, J14, J17</t>
  </si>
  <si>
    <t>C500193</t>
  </si>
  <si>
    <t>X10B25U15T</t>
  </si>
  <si>
    <t>J15</t>
  </si>
  <si>
    <t>CONN HEADER VERT 3POS 2.5MM</t>
  </si>
  <si>
    <t>J16</t>
  </si>
  <si>
    <t>B3B-XH-A(LF)(SN)</t>
  </si>
  <si>
    <t>JST</t>
  </si>
  <si>
    <t>C144394</t>
  </si>
  <si>
    <t>Test Point ON</t>
  </si>
  <si>
    <t>P1, P2, P3, P4, P5, P6, P7, P8, P9, P10, P11, P12, P13, P14, P15, P16, P17, P18, P19, P20, P21, P22, P23, P24, P25, P26, P27, P28, P29, P30, P31, P32</t>
  </si>
  <si>
    <t>TEST POINT</t>
  </si>
  <si>
    <t>-------------</t>
  </si>
  <si>
    <t>DO NOT Mount</t>
  </si>
  <si>
    <t>Solder Bridge ON</t>
  </si>
  <si>
    <t>SB1, SB2, SB3, SB4</t>
  </si>
  <si>
    <t>Solder Bridge</t>
  </si>
  <si>
    <t>Additional Components</t>
  </si>
  <si>
    <t>Camera Day + Night Vision w/Cables</t>
  </si>
  <si>
    <t>OV5647 Module</t>
  </si>
  <si>
    <t>Arducam</t>
  </si>
  <si>
    <t>Battery LiFePO4</t>
  </si>
  <si>
    <t>2-Cell LiFePO4</t>
  </si>
  <si>
    <t>Link to be pasted by Electron Ali</t>
  </si>
  <si>
    <t>Compute Module CM3+</t>
  </si>
  <si>
    <t>CM3+/32GB</t>
  </si>
  <si>
    <t>Raspberry Pi</t>
  </si>
  <si>
    <t>4G Modem Module</t>
  </si>
  <si>
    <t>EG25GGB-MINIPCIE</t>
  </si>
  <si>
    <t>Quectel</t>
  </si>
  <si>
    <t>Twilio Embedded SIM</t>
  </si>
  <si>
    <t>Embedded (MFF2)</t>
  </si>
  <si>
    <t>Twilio</t>
  </si>
  <si>
    <t>Will be sourced directly from Twilio using Client's Account</t>
  </si>
  <si>
    <t>UFL 4G LTE Antenna</t>
  </si>
  <si>
    <t xml:space="preserve">Total Component Cost </t>
  </si>
  <si>
    <t>Single Board Cost</t>
  </si>
  <si>
    <t>Link</t>
  </si>
  <si>
    <t>MOQ Total</t>
  </si>
  <si>
    <t>BSS138-7-F</t>
  </si>
  <si>
    <t>C40912</t>
  </si>
  <si>
    <t>wattage ratting is 1/16W</t>
  </si>
  <si>
    <t>RK73H1ETTP3003F</t>
  </si>
  <si>
    <t>C316883</t>
  </si>
  <si>
    <t>wattage ratting is 0.1W</t>
  </si>
  <si>
    <t>C37593</t>
  </si>
  <si>
    <t>less stock</t>
  </si>
  <si>
    <t>hole size is different</t>
  </si>
  <si>
    <t>XKB Connectivity</t>
  </si>
  <si>
    <t>not at lcsc</t>
  </si>
  <si>
    <t xml:space="preserve">CAP CER 1UF 50V X5R 0402
</t>
  </si>
  <si>
    <t>Alibaba</t>
  </si>
  <si>
    <t>Back order issue at LCSC</t>
  </si>
  <si>
    <t>C2012X5R1V106MT0J0E</t>
  </si>
  <si>
    <t>C342723</t>
  </si>
  <si>
    <t>15cmFFC+30cmFFC</t>
  </si>
  <si>
    <t>MC-318</t>
  </si>
  <si>
    <t>SOFNG</t>
  </si>
  <si>
    <t>USB - Type C Female 24 SMD USB Connectors RoHS</t>
  </si>
  <si>
    <t>C183608</t>
  </si>
  <si>
    <t xml:space="preserve">C1005X5R1E105KT000E
</t>
  </si>
  <si>
    <t xml:space="preserve">Different Voltage Rating </t>
  </si>
  <si>
    <t>C191909</t>
  </si>
  <si>
    <t>Chipmall</t>
  </si>
  <si>
    <t>Wattage Rating issue</t>
  </si>
  <si>
    <t xml:space="preserve">Bill of Material (BOM) for Refrence Formate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</si>
</sst>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&quot;$&quot;#,##0.0000"/>
    <numFmt numFmtId="165" formatCode="&quot;$&quot;#,##0.00"/>
    <numFmt numFmtId="166" formatCode="_-[$$-409]* #,##0.00_ ;_-[$$-409]* \-#,##0.00\ ;_-[$$-409]* &quot;-&quot;??_ ;_-@_ "/>
    <numFmt numFmtId="167" formatCode="&quot;$&quot;#,##0.000000"/>
    <numFmt numFmtId="168" formatCode="&quot;$&quot;#,##0.0000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1"/>
      <color rgb="FF444444"/>
      <name val="Arial"/>
      <family val="2"/>
    </font>
    <font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444444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12">
    <xf numFmtId="0" fontId="0" fillId="0" borderId="0" xfId="0"/>
    <xf numFmtId="0" fontId="4" fillId="0" borderId="2" xfId="0" quotePrefix="1" applyFont="1" applyBorder="1"/>
    <xf numFmtId="0" fontId="4" fillId="3" borderId="3" xfId="0" quotePrefix="1" applyFont="1" applyFill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0" xfId="0" applyFont="1"/>
    <xf numFmtId="0" fontId="4" fillId="0" borderId="6" xfId="0" quotePrefix="1" applyFont="1" applyBorder="1"/>
    <xf numFmtId="0" fontId="5" fillId="3" borderId="7" xfId="0" quotePrefix="1" applyFont="1" applyFill="1" applyBorder="1" applyAlignment="1">
      <alignment horizontal="center" vertical="center" wrapText="1"/>
    </xf>
    <xf numFmtId="0" fontId="4" fillId="0" borderId="7" xfId="0" quotePrefix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4" fontId="7" fillId="0" borderId="7" xfId="1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4" fillId="3" borderId="7" xfId="0" quotePrefix="1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7" fillId="0" borderId="7" xfId="1" quotePrefix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4" fillId="0" borderId="10" xfId="0" quotePrefix="1" applyFont="1" applyBorder="1"/>
    <xf numFmtId="0" fontId="4" fillId="3" borderId="11" xfId="0" quotePrefix="1" applyFont="1" applyFill="1" applyBorder="1" applyAlignment="1">
      <alignment horizontal="center" vertical="center"/>
    </xf>
    <xf numFmtId="0" fontId="4" fillId="0" borderId="11" xfId="0" quotePrefix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11" xfId="1" quotePrefix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165" fontId="5" fillId="0" borderId="11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 wrapText="1"/>
    </xf>
    <xf numFmtId="0" fontId="5" fillId="0" borderId="3" xfId="0" quotePrefix="1" applyFont="1" applyBorder="1" applyAlignment="1">
      <alignment horizontal="center" vertical="center"/>
    </xf>
    <xf numFmtId="166" fontId="9" fillId="3" borderId="4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5" fillId="0" borderId="2" xfId="0" quotePrefix="1" applyFont="1" applyBorder="1" applyAlignment="1">
      <alignment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4" fillId="0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 wrapText="1"/>
    </xf>
    <xf numFmtId="0" fontId="4" fillId="0" borderId="7" xfId="0" quotePrefix="1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4" fillId="0" borderId="6" xfId="0" quotePrefix="1" applyFont="1" applyBorder="1" applyAlignment="1">
      <alignment horizontal="left" vertical="center" wrapText="1"/>
    </xf>
    <xf numFmtId="0" fontId="5" fillId="0" borderId="6" xfId="0" quotePrefix="1" applyFont="1" applyBorder="1" applyAlignment="1">
      <alignment vertical="center"/>
    </xf>
    <xf numFmtId="0" fontId="5" fillId="0" borderId="7" xfId="0" quotePrefix="1" applyFont="1" applyBorder="1" applyAlignment="1">
      <alignment horizontal="center" vertical="center" wrapText="1"/>
    </xf>
    <xf numFmtId="0" fontId="5" fillId="0" borderId="13" xfId="0" quotePrefix="1" applyFont="1" applyBorder="1" applyAlignment="1">
      <alignment vertical="center" wrapText="1"/>
    </xf>
    <xf numFmtId="0" fontId="5" fillId="3" borderId="14" xfId="0" quotePrefix="1" applyFont="1" applyFill="1" applyBorder="1" applyAlignment="1">
      <alignment horizontal="center" vertical="center" wrapText="1"/>
    </xf>
    <xf numFmtId="0" fontId="5" fillId="0" borderId="14" xfId="0" quotePrefix="1" applyFont="1" applyBorder="1" applyAlignment="1">
      <alignment horizontal="center" vertical="center" wrapText="1"/>
    </xf>
    <xf numFmtId="0" fontId="4" fillId="0" borderId="14" xfId="0" quotePrefix="1" applyFont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0" fontId="5" fillId="0" borderId="6" xfId="0" quotePrefix="1" applyFont="1" applyBorder="1" applyAlignment="1">
      <alignment vertical="center" wrapText="1"/>
    </xf>
    <xf numFmtId="0" fontId="8" fillId="3" borderId="8" xfId="0" applyFont="1" applyFill="1" applyBorder="1" applyAlignment="1">
      <alignment horizontal="center" vertical="center"/>
    </xf>
    <xf numFmtId="166" fontId="9" fillId="3" borderId="8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0" fontId="4" fillId="0" borderId="15" xfId="0" quotePrefix="1" applyFont="1" applyBorder="1" applyAlignment="1">
      <alignment horizontal="center" vertical="center"/>
    </xf>
    <xf numFmtId="0" fontId="5" fillId="0" borderId="15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4" fillId="0" borderId="17" xfId="0" quotePrefix="1" applyFont="1" applyBorder="1"/>
    <xf numFmtId="0" fontId="4" fillId="0" borderId="18" xfId="0" quotePrefix="1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10" fillId="4" borderId="6" xfId="0" quotePrefix="1" applyFont="1" applyFill="1" applyBorder="1" applyAlignment="1">
      <alignment horizontal="left" vertical="center" wrapText="1"/>
    </xf>
    <xf numFmtId="0" fontId="10" fillId="4" borderId="7" xfId="0" quotePrefix="1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/>
    </xf>
    <xf numFmtId="0" fontId="10" fillId="4" borderId="7" xfId="0" quotePrefix="1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164" fontId="10" fillId="4" borderId="7" xfId="0" quotePrefix="1" applyNumberFormat="1" applyFont="1" applyFill="1" applyBorder="1" applyAlignment="1">
      <alignment horizontal="center" vertical="center"/>
    </xf>
    <xf numFmtId="166" fontId="9" fillId="4" borderId="8" xfId="0" applyNumberFormat="1" applyFont="1" applyFill="1" applyBorder="1" applyAlignment="1">
      <alignment horizontal="center" vertical="center"/>
    </xf>
    <xf numFmtId="0" fontId="10" fillId="4" borderId="10" xfId="0" quotePrefix="1" applyFont="1" applyFill="1" applyBorder="1" applyAlignment="1">
      <alignment horizontal="left" vertical="center" wrapText="1"/>
    </xf>
    <xf numFmtId="0" fontId="10" fillId="4" borderId="11" xfId="0" quotePrefix="1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0" fontId="10" fillId="4" borderId="14" xfId="0" quotePrefix="1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 wrapText="1"/>
    </xf>
    <xf numFmtId="166" fontId="9" fillId="4" borderId="20" xfId="0" applyNumberFormat="1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4" fillId="0" borderId="6" xfId="0" applyFont="1" applyFill="1" applyBorder="1"/>
    <xf numFmtId="0" fontId="4" fillId="0" borderId="10" xfId="0" applyFont="1" applyFill="1" applyBorder="1"/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5" fontId="5" fillId="0" borderId="0" xfId="0" applyNumberFormat="1" applyFont="1" applyFill="1" applyBorder="1" applyAlignment="1">
      <alignment horizontal="center" vertical="center"/>
    </xf>
    <xf numFmtId="0" fontId="11" fillId="5" borderId="0" xfId="0" applyFont="1" applyFill="1" applyAlignment="1">
      <alignment horizontal="left" vertical="top" wrapText="1"/>
    </xf>
    <xf numFmtId="0" fontId="0" fillId="5" borderId="0" xfId="0" applyFill="1"/>
    <xf numFmtId="0" fontId="2" fillId="2" borderId="22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" fillId="4" borderId="7" xfId="0" quotePrefix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5" fillId="0" borderId="6" xfId="0" quotePrefix="1" applyFont="1" applyFill="1" applyBorder="1" applyAlignment="1">
      <alignment vertical="center" wrapText="1"/>
    </xf>
    <xf numFmtId="0" fontId="5" fillId="0" borderId="7" xfId="0" quotePrefix="1" applyFont="1" applyFill="1" applyBorder="1" applyAlignment="1">
      <alignment horizontal="center" vertical="center" wrapText="1"/>
    </xf>
    <xf numFmtId="0" fontId="5" fillId="0" borderId="0" xfId="0" applyFont="1"/>
    <xf numFmtId="165" fontId="5" fillId="0" borderId="0" xfId="0" applyNumberFormat="1" applyFont="1"/>
    <xf numFmtId="0" fontId="15" fillId="5" borderId="0" xfId="0" applyFont="1" applyFill="1" applyAlignment="1">
      <alignment horizontal="left" vertical="top" wrapText="1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0" fontId="4" fillId="4" borderId="6" xfId="0" quotePrefix="1" applyFont="1" applyFill="1" applyBorder="1" applyAlignment="1"/>
    <xf numFmtId="0" fontId="5" fillId="4" borderId="7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164" fontId="5" fillId="4" borderId="3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164" fontId="7" fillId="0" borderId="26" xfId="1" applyNumberFormat="1" applyFont="1" applyBorder="1" applyAlignment="1">
      <alignment horizontal="center" vertical="center"/>
    </xf>
    <xf numFmtId="164" fontId="7" fillId="0" borderId="27" xfId="1" applyNumberFormat="1" applyFont="1" applyBorder="1" applyAlignment="1">
      <alignment horizontal="center" vertical="center"/>
    </xf>
    <xf numFmtId="0" fontId="7" fillId="0" borderId="27" xfId="1" quotePrefix="1" applyFont="1" applyBorder="1" applyAlignment="1">
      <alignment horizontal="center" vertical="center"/>
    </xf>
    <xf numFmtId="0" fontId="7" fillId="4" borderId="27" xfId="1" quotePrefix="1" applyFont="1" applyFill="1" applyBorder="1" applyAlignment="1">
      <alignment horizontal="center" vertical="center"/>
    </xf>
    <xf numFmtId="0" fontId="7" fillId="0" borderId="28" xfId="1" quotePrefix="1" applyFont="1" applyBorder="1" applyAlignment="1">
      <alignment horizontal="center" vertical="center"/>
    </xf>
    <xf numFmtId="0" fontId="7" fillId="0" borderId="26" xfId="1" quotePrefix="1" applyFont="1" applyBorder="1" applyAlignment="1">
      <alignment horizontal="center" vertical="center"/>
    </xf>
    <xf numFmtId="0" fontId="7" fillId="0" borderId="23" xfId="1" quotePrefix="1" applyFont="1" applyBorder="1" applyAlignment="1">
      <alignment horizontal="center" vertical="center"/>
    </xf>
    <xf numFmtId="164" fontId="7" fillId="0" borderId="29" xfId="1" applyNumberFormat="1" applyFont="1" applyBorder="1" applyAlignment="1">
      <alignment horizontal="center" vertical="center"/>
    </xf>
    <xf numFmtId="0" fontId="7" fillId="0" borderId="27" xfId="1" applyFont="1" applyBorder="1" applyAlignment="1">
      <alignment horizontal="center" vertical="center"/>
    </xf>
    <xf numFmtId="0" fontId="10" fillId="4" borderId="27" xfId="0" quotePrefix="1" applyFont="1" applyFill="1" applyBorder="1" applyAlignment="1">
      <alignment horizontal="center" vertical="center"/>
    </xf>
    <xf numFmtId="0" fontId="10" fillId="4" borderId="30" xfId="0" quotePrefix="1" applyFont="1" applyFill="1" applyBorder="1" applyAlignment="1">
      <alignment horizontal="center" vertical="center"/>
    </xf>
    <xf numFmtId="0" fontId="7" fillId="0" borderId="26" xfId="1" applyFont="1" applyBorder="1" applyAlignment="1">
      <alignment horizontal="center" vertical="center"/>
    </xf>
    <xf numFmtId="0" fontId="7" fillId="0" borderId="28" xfId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4" fillId="0" borderId="7" xfId="0" quotePrefix="1" applyFont="1" applyBorder="1"/>
    <xf numFmtId="0" fontId="4" fillId="0" borderId="3" xfId="0" quotePrefix="1" applyFont="1" applyBorder="1"/>
    <xf numFmtId="0" fontId="4" fillId="0" borderId="11" xfId="0" quotePrefix="1" applyFont="1" applyBorder="1"/>
    <xf numFmtId="167" fontId="5" fillId="0" borderId="11" xfId="0" applyNumberFormat="1" applyFont="1" applyBorder="1" applyAlignment="1">
      <alignment horizontal="center" vertical="center"/>
    </xf>
    <xf numFmtId="0" fontId="7" fillId="0" borderId="0" xfId="1" quotePrefix="1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164" fontId="7" fillId="0" borderId="30" xfId="1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64" fontId="10" fillId="4" borderId="11" xfId="0" quotePrefix="1" applyNumberFormat="1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164" fontId="13" fillId="0" borderId="7" xfId="0" applyNumberFormat="1" applyFont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164" fontId="5" fillId="4" borderId="7" xfId="0" applyNumberFormat="1" applyFont="1" applyFill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/>
    </xf>
    <xf numFmtId="164" fontId="4" fillId="0" borderId="7" xfId="0" applyNumberFormat="1" applyFont="1" applyFill="1" applyBorder="1" applyAlignment="1">
      <alignment horizontal="center" vertical="center"/>
    </xf>
    <xf numFmtId="164" fontId="5" fillId="0" borderId="7" xfId="0" applyNumberFormat="1" applyFont="1" applyFill="1" applyBorder="1" applyAlignment="1">
      <alignment horizontal="center" vertical="center"/>
    </xf>
    <xf numFmtId="0" fontId="4" fillId="4" borderId="17" xfId="0" quotePrefix="1" applyFont="1" applyFill="1" applyBorder="1"/>
    <xf numFmtId="0" fontId="4" fillId="4" borderId="18" xfId="0" quotePrefix="1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0" fontId="5" fillId="4" borderId="18" xfId="0" applyFont="1" applyFill="1" applyBorder="1" applyAlignment="1">
      <alignment horizontal="center" vertical="center"/>
    </xf>
    <xf numFmtId="0" fontId="6" fillId="4" borderId="18" xfId="1" quotePrefix="1" applyFill="1" applyBorder="1" applyAlignment="1">
      <alignment horizontal="center" vertical="center"/>
    </xf>
    <xf numFmtId="164" fontId="5" fillId="4" borderId="18" xfId="0" applyNumberFormat="1" applyFont="1" applyFill="1" applyBorder="1" applyAlignment="1">
      <alignment horizontal="center" vertical="center"/>
    </xf>
    <xf numFmtId="0" fontId="8" fillId="4" borderId="19" xfId="0" applyFont="1" applyFill="1" applyBorder="1" applyAlignment="1">
      <alignment horizontal="center" vertical="center"/>
    </xf>
    <xf numFmtId="168" fontId="5" fillId="0" borderId="7" xfId="0" applyNumberFormat="1" applyFont="1" applyBorder="1" applyAlignment="1">
      <alignment horizontal="center" vertical="center"/>
    </xf>
    <xf numFmtId="168" fontId="4" fillId="0" borderId="0" xfId="0" applyNumberFormat="1" applyFont="1" applyAlignment="1">
      <alignment horizontal="center" vertical="center"/>
    </xf>
    <xf numFmtId="0" fontId="6" fillId="0" borderId="7" xfId="1" quotePrefix="1" applyFont="1" applyBorder="1" applyAlignment="1">
      <alignment horizontal="center" vertical="center"/>
    </xf>
    <xf numFmtId="0" fontId="4" fillId="4" borderId="6" xfId="0" quotePrefix="1" applyFont="1" applyFill="1" applyBorder="1"/>
    <xf numFmtId="0" fontId="5" fillId="4" borderId="7" xfId="0" applyFont="1" applyFill="1" applyBorder="1" applyAlignment="1">
      <alignment horizontal="center" vertical="center" wrapText="1"/>
    </xf>
    <xf numFmtId="165" fontId="13" fillId="4" borderId="0" xfId="0" applyNumberFormat="1" applyFont="1" applyFill="1" applyAlignment="1">
      <alignment horizontal="center" vertical="center"/>
    </xf>
    <xf numFmtId="164" fontId="5" fillId="0" borderId="18" xfId="0" applyNumberFormat="1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6" fillId="0" borderId="27" xfId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7" xfId="0" quotePrefix="1" applyFont="1" applyBorder="1" applyAlignment="1">
      <alignment horizontal="left" vertical="top"/>
    </xf>
    <xf numFmtId="0" fontId="4" fillId="0" borderId="7" xfId="0" quotePrefix="1" applyFont="1" applyFill="1" applyBorder="1"/>
    <xf numFmtId="0" fontId="7" fillId="0" borderId="7" xfId="1" quotePrefix="1" applyFont="1" applyFill="1" applyBorder="1" applyAlignment="1">
      <alignment horizontal="center" vertical="center"/>
    </xf>
    <xf numFmtId="164" fontId="13" fillId="0" borderId="7" xfId="0" applyNumberFormat="1" applyFont="1" applyFill="1" applyBorder="1" applyAlignment="1">
      <alignment horizontal="center" vertical="center"/>
    </xf>
    <xf numFmtId="0" fontId="8" fillId="0" borderId="8" xfId="0" applyFont="1" applyFill="1" applyBorder="1" applyAlignment="1">
      <alignment horizontal="center" vertical="center"/>
    </xf>
    <xf numFmtId="0" fontId="4" fillId="3" borderId="7" xfId="0" quotePrefix="1" applyFont="1" applyFill="1" applyBorder="1" applyAlignment="1"/>
    <xf numFmtId="0" fontId="4" fillId="3" borderId="7" xfId="0" applyFont="1" applyFill="1" applyBorder="1" applyAlignment="1">
      <alignment horizontal="center" vertical="center"/>
    </xf>
    <xf numFmtId="0" fontId="5" fillId="3" borderId="7" xfId="0" quotePrefix="1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5" fontId="5" fillId="3" borderId="7" xfId="0" applyNumberFormat="1" applyFont="1" applyFill="1" applyBorder="1" applyAlignment="1">
      <alignment horizontal="center" vertical="center"/>
    </xf>
    <xf numFmtId="164" fontId="4" fillId="3" borderId="11" xfId="0" applyNumberFormat="1" applyFont="1" applyFill="1" applyBorder="1" applyAlignment="1">
      <alignment horizontal="center" vertical="center"/>
    </xf>
    <xf numFmtId="164" fontId="5" fillId="3" borderId="11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5" fillId="3" borderId="10" xfId="0" quotePrefix="1" applyFont="1" applyFill="1" applyBorder="1" applyAlignment="1">
      <alignment vertical="center" wrapText="1"/>
    </xf>
    <xf numFmtId="0" fontId="5" fillId="3" borderId="11" xfId="0" applyFont="1" applyFill="1" applyBorder="1" applyAlignment="1">
      <alignment horizontal="center" vertical="center"/>
    </xf>
    <xf numFmtId="0" fontId="4" fillId="3" borderId="21" xfId="0" quotePrefix="1" applyFont="1" applyFill="1" applyBorder="1" applyAlignment="1">
      <alignment horizontal="center" vertical="center"/>
    </xf>
    <xf numFmtId="165" fontId="5" fillId="3" borderId="11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 wrapText="1"/>
    </xf>
    <xf numFmtId="0" fontId="5" fillId="3" borderId="11" xfId="0" quotePrefix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quotePrefix="1" applyFont="1" applyFill="1" applyBorder="1" applyAlignment="1">
      <alignment horizontal="center" vertical="center"/>
    </xf>
    <xf numFmtId="0" fontId="4" fillId="3" borderId="6" xfId="0" quotePrefix="1" applyFont="1" applyFill="1" applyBorder="1"/>
    <xf numFmtId="164" fontId="7" fillId="3" borderId="27" xfId="1" applyNumberFormat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3" borderId="7" xfId="0" applyFill="1" applyBorder="1"/>
    <xf numFmtId="0" fontId="5" fillId="3" borderId="24" xfId="0" applyFont="1" applyFill="1" applyBorder="1"/>
    <xf numFmtId="0" fontId="4" fillId="3" borderId="7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/>
    </xf>
    <xf numFmtId="0" fontId="5" fillId="6" borderId="14" xfId="0" quotePrefix="1" applyFont="1" applyFill="1" applyBorder="1" applyAlignment="1">
      <alignment horizontal="center" vertical="center" wrapText="1"/>
    </xf>
    <xf numFmtId="0" fontId="4" fillId="6" borderId="14" xfId="0" quotePrefix="1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1" xfId="0" quotePrefix="1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wrapText="1"/>
    </xf>
    <xf numFmtId="0" fontId="2" fillId="2" borderId="36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4" fillId="3" borderId="21" xfId="0" applyFont="1" applyFill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PANASONIC-ERJPA2F1003X_C427253.html" TargetMode="External"/><Relationship Id="rId18" Type="http://schemas.openxmlformats.org/officeDocument/2006/relationships/hyperlink" Target="https://lcsc.com/product-detail/Multilayer-Ceramic-Capacitors-MLCC-SMD-SMT_Murata-Electronics-GRM1555C1E330JA01D_C441758.html" TargetMode="External"/><Relationship Id="rId26" Type="http://schemas.openxmlformats.org/officeDocument/2006/relationships/hyperlink" Target="https://lcsc.com/product-detail/Chip-Resistor-Surface-Mount_UNI-ROYAL-Uniroyal-Elec-0402WGF5363TCE_C68457.html" TargetMode="External"/><Relationship Id="rId39" Type="http://schemas.openxmlformats.org/officeDocument/2006/relationships/hyperlink" Target="https://lcsc.com/product-detail/Pin-Header-Female-Header_PINREX-210-91-02GB01_C390678.html" TargetMode="External"/><Relationship Id="rId21" Type="http://schemas.openxmlformats.org/officeDocument/2006/relationships/hyperlink" Target="https://lcsc.com/product-detail/Power-Inductors_Sumida-0630CDMCCDS-6R8MC_C167295.html" TargetMode="External"/><Relationship Id="rId34" Type="http://schemas.openxmlformats.org/officeDocument/2006/relationships/hyperlink" Target="https://lcsc.com/product-detail/Wire-To-Board-Wire-To-Wire-Connector_JST-Sales-America-B3B-XH-A-LF-SN_C144394.html" TargetMode="External"/><Relationship Id="rId42" Type="http://schemas.openxmlformats.org/officeDocument/2006/relationships/hyperlink" Target="https://www.twilio.com/console/iot/orders/new" TargetMode="External"/><Relationship Id="rId47" Type="http://schemas.openxmlformats.org/officeDocument/2006/relationships/hyperlink" Target="https://lcsc.com/product-detail/Chip-Resistor-Surface-Mount_KOA-Speer-Elec-RK73H1ETTP3003F_C316883.html" TargetMode="External"/><Relationship Id="rId50" Type="http://schemas.openxmlformats.org/officeDocument/2006/relationships/hyperlink" Target="https://www.aliexpress.com/item/4000384795802.html?spm=a2g0o.productlist.0.0.5e375064x2nWjR&amp;algo_pvid=5269e6b6-7662-4320-b2b3-2dbd1445c1b6&amp;algo_expid=5269e6b6-7662-4320-b2b3-2dbd1445c1b6-1&amp;btsid=0b0a556316232285620775974e36a1&amp;ws_ab_test=searchweb0_0,searc" TargetMode="External"/><Relationship Id="rId55" Type="http://schemas.openxmlformats.org/officeDocument/2006/relationships/hyperlink" Target="https://lcsc.com/product-detail/Multilayer-Ceramic-Capacitors-MLCC-SMD-SMT_TDK-C1005X5R1E105KT000E_C191909.html" TargetMode="External"/><Relationship Id="rId7" Type="http://schemas.openxmlformats.org/officeDocument/2006/relationships/hyperlink" Target="https://lcsc.com/product-detail/FFC-FPC-Connectors_XKB-Connectivity-X10B25U15T_C500193.html" TargetMode="External"/><Relationship Id="rId2" Type="http://schemas.openxmlformats.org/officeDocument/2006/relationships/hyperlink" Target="https://lcsc.com/product-detail/Multilayer-Ceramic-Capacitors-MLCC-SMD-SMT_Murata-Electronics-GRM31CR61E476ME44L_C403725.html" TargetMode="External"/><Relationship Id="rId16" Type="http://schemas.openxmlformats.org/officeDocument/2006/relationships/hyperlink" Target="https://lcsc.com/product-detail/Multilayer-Ceramic-Capacitors-MLCC-SMD-SMT_YAGEO-CC1206KKX7R9BB224_C107186.html" TargetMode="External"/><Relationship Id="rId29" Type="http://schemas.openxmlformats.org/officeDocument/2006/relationships/hyperlink" Target="https://lcsc.com/product-detail/Chip-Resistor-Surface-Mount_10KR-103-5_C60489.html" TargetMode="External"/><Relationship Id="rId11" Type="http://schemas.openxmlformats.org/officeDocument/2006/relationships/hyperlink" Target="https://lcsc.com/product-detail/Chip-Resistor-Surface-Mount_0R-0R0-1_C106231.html" TargetMode="External"/><Relationship Id="rId24" Type="http://schemas.openxmlformats.org/officeDocument/2006/relationships/hyperlink" Target="https://lcsc.com/product-detail/Chip-Resistor-Surface-Mount_UNI-ROYAL-Uniroyal-Elec-0402WGF3013TCE_C25775.html" TargetMode="External"/><Relationship Id="rId32" Type="http://schemas.openxmlformats.org/officeDocument/2006/relationships/hyperlink" Target="https://lcsc.com/product-detail/USB-ICs_ON-Semiconductor-ON-FSUSB42UMX_C11145.html" TargetMode="External"/><Relationship Id="rId37" Type="http://schemas.openxmlformats.org/officeDocument/2006/relationships/hyperlink" Target="https://lcsc.com/product-detail/Chip-Resistor-Surface-Mount_YAGEO-AF0402JR-071ML_C144054.html" TargetMode="External"/><Relationship Id="rId40" Type="http://schemas.openxmlformats.org/officeDocument/2006/relationships/hyperlink" Target="https://lcsc.com/product-detail/Aluminum-Electrolytic-Capacitors-SMD_PANASONIC-EEEFK1E100R_C178538.html" TargetMode="External"/><Relationship Id="rId45" Type="http://schemas.openxmlformats.org/officeDocument/2006/relationships/hyperlink" Target="https://pl.aliexpress.com/item/32989034569.html?spm=a2g0o.productlist.0.0.1869c1a38l0mzB&amp;algo_pvid=aeec6dff-7f07-44af-a72f-51485c99c7d6&amp;algo_expid=aeec6dff-7f07-44af-a72f-51485c99c7d6-3&amp;btsid=0bb0623a16227095389538431efb24&amp;ws_ab_test=searchweb0_0,searchwe" TargetMode="External"/><Relationship Id="rId53" Type="http://schemas.openxmlformats.org/officeDocument/2006/relationships/hyperlink" Target="https://lcsc.com/product-detail/Others_TDK-C2012X5R1V106MT0J0E_C342723.html" TargetMode="External"/><Relationship Id="rId5" Type="http://schemas.openxmlformats.org/officeDocument/2006/relationships/hyperlink" Target="https://lcsc.com/product-detail/USB-Connectors_Amphenol-ICC-10118192-0001LF_C132564.html" TargetMode="External"/><Relationship Id="rId19" Type="http://schemas.openxmlformats.org/officeDocument/2006/relationships/hyperlink" Target="https://lcsc.com/product-detail/Light-Emitting-Diodes-LED_TOGIALED-TJ-S1005CL4T5ALC2G-A5_C917188.html" TargetMode="External"/><Relationship Id="rId4" Type="http://schemas.openxmlformats.org/officeDocument/2006/relationships/hyperlink" Target="https://lcsc.com/product-detail/Card-Edge-Connectors_TE-Connectivity-1565917-4_C279171.html" TargetMode="External"/><Relationship Id="rId9" Type="http://schemas.openxmlformats.org/officeDocument/2006/relationships/hyperlink" Target="https://lcsc.com/product-detail/Chip-Resistor-Surface-Mount_PANASONIC-ERJPA2F4702X_C427250.html" TargetMode="External"/><Relationship Id="rId14" Type="http://schemas.openxmlformats.org/officeDocument/2006/relationships/hyperlink" Target="https://lcsc.com/product-detail/Chip-Resistor-Surface-Mount_PANASONIC-ERJ2RKF1502X_C413097.html" TargetMode="External"/><Relationship Id="rId22" Type="http://schemas.openxmlformats.org/officeDocument/2006/relationships/hyperlink" Target="https://lcsc.com/product-detail/MOSFET_Diodes-Incorporated-DMG1012T-7_C20512.html" TargetMode="External"/><Relationship Id="rId27" Type="http://schemas.openxmlformats.org/officeDocument/2006/relationships/hyperlink" Target="https://lcsc.com/product-detail/Chip-Resistor-Surface-Mount_UNI-ROYAL-Uniroyal-Elec-0402WGF4533TCE_C27009.html" TargetMode="External"/><Relationship Id="rId30" Type="http://schemas.openxmlformats.org/officeDocument/2006/relationships/hyperlink" Target="https://lcsc.com/product-detail/Dropout-Regulators-LDO_Microchip-Tech-MIC29300-3-3WU-TR_C481370.html" TargetMode="External"/><Relationship Id="rId35" Type="http://schemas.openxmlformats.org/officeDocument/2006/relationships/hyperlink" Target="https://lcsc.com/product-detail/Schottky-Barrier-Diodes-SBD_Slkor-SLKORMICRO-Elec-SS34_C408258.html" TargetMode="External"/><Relationship Id="rId43" Type="http://schemas.openxmlformats.org/officeDocument/2006/relationships/hyperlink" Target="https://pl.aliexpress.com/item/32831783732.html?spm=a2g0o.productlist.0.0.73fa134dR631vM&amp;algo_pvid=ce159c88-3d64-484d-b337-4c573bb93b8e&amp;algo_expid=ce159c88-3d64-484d-b337-4c573bb93b8e-6&amp;btsid=0bb0623a16227086616891764efa72&amp;ws_ab_test=searchweb0_0,searchwe" TargetMode="External"/><Relationship Id="rId48" Type="http://schemas.openxmlformats.org/officeDocument/2006/relationships/hyperlink" Target="https://lcsc.com/product-detail/Analog-To-Digital-Converters-ADCs_Texas-Instruments-ADS1115IDGSR_C37593.html" TargetMode="External"/><Relationship Id="rId56" Type="http://schemas.openxmlformats.org/officeDocument/2006/relationships/hyperlink" Target="https://www.chipmall.com/product_detail/TDK/Fixed-Inductors/SLF10145T-100M2R5-PF_584129.html" TargetMode="External"/><Relationship Id="rId8" Type="http://schemas.openxmlformats.org/officeDocument/2006/relationships/hyperlink" Target="https://lcsc.com/product-detail/USB-Connectors_Jing-Extension-of-the-Electronic-Co-USB-A-F-900-Outside-the-buckle-straight-foot-Not-high-temperature_C2346.html" TargetMode="External"/><Relationship Id="rId51" Type="http://schemas.openxmlformats.org/officeDocument/2006/relationships/hyperlink" Target="https://www.aliexpress.com/item/1005001817764284.html" TargetMode="External"/><Relationship Id="rId3" Type="http://schemas.openxmlformats.org/officeDocument/2006/relationships/hyperlink" Target="https://lcsc.com/product-detail/FFC-FPC-Connectors_HRS-Hirose-HRS-TF31-40S-0-5SH-800_C596725.html" TargetMode="External"/><Relationship Id="rId12" Type="http://schemas.openxmlformats.org/officeDocument/2006/relationships/hyperlink" Target="https://lcsc.com/product-detail/Chip-Resistor-Surface-Mount_PANASONIC-ERJPA2F4700X_C427238.html" TargetMode="External"/><Relationship Id="rId17" Type="http://schemas.openxmlformats.org/officeDocument/2006/relationships/hyperlink" Target="https://lcsc.com/product-detail/Multilayer-Ceramic-Capacitors-MLCC-SMD-SMT_TDK-C3216X5R1E226KTJ00N_C338055.html" TargetMode="External"/><Relationship Id="rId25" Type="http://schemas.openxmlformats.org/officeDocument/2006/relationships/hyperlink" Target="https://lcsc.com/product-detail/Chip-Resistor-Surface-Mount_Ever-Ohms-Tech-CR1206FR050P05R_C149662.html" TargetMode="External"/><Relationship Id="rId33" Type="http://schemas.openxmlformats.org/officeDocument/2006/relationships/hyperlink" Target="https://lcsc.com/product-detail/MOSFET_Infineon-Technologies-IRF7319TRPBF_C2760082.html" TargetMode="External"/><Relationship Id="rId38" Type="http://schemas.openxmlformats.org/officeDocument/2006/relationships/hyperlink" Target="https://lcsc.com/product-detail/Pin-Header-Female-Header_PINREX-210-91-03GB01_C390679.html" TargetMode="External"/><Relationship Id="rId46" Type="http://schemas.openxmlformats.org/officeDocument/2006/relationships/hyperlink" Target="https://lcsc.com/product-detail/MOSFETs_Diodes-Incorporated_BSS138-7-F_Diodes-Incorporated-BSS138-7-F_C40912.html" TargetMode="External"/><Relationship Id="rId20" Type="http://schemas.openxmlformats.org/officeDocument/2006/relationships/hyperlink" Target="https://lcsc.com/product-detail/Diodes-General-Purpose_DIODES_S1A-13-F_S1A-13-F_C150735.html" TargetMode="External"/><Relationship Id="rId41" Type="http://schemas.openxmlformats.org/officeDocument/2006/relationships/hyperlink" Target="https://lcsc.com/product-detail/Aluminum-Electrolytic-Capacitors-SMD_PANASONIC-EEEFT1E471GP_C193277.html" TargetMode="External"/><Relationship Id="rId54" Type="http://schemas.openxmlformats.org/officeDocument/2006/relationships/hyperlink" Target="https://lcsc.com/product-detail/USB-Connectors_SOFNG-MC-318_C183608.html" TargetMode="External"/><Relationship Id="rId1" Type="http://schemas.openxmlformats.org/officeDocument/2006/relationships/hyperlink" Target="https://lcsc.com/product-detail/Multilayer-Ceramic-Capacitors-MLCC-SMD-SMT_FH-Guangdong-Fenghua-Advanced-Tech-0402F104M500NT_C1581.html" TargetMode="External"/><Relationship Id="rId6" Type="http://schemas.openxmlformats.org/officeDocument/2006/relationships/hyperlink" Target="https://lcsc.com/product-detail/Card-Edge-Connectors_MOLEX-679100002_C192736.html" TargetMode="External"/><Relationship Id="rId15" Type="http://schemas.openxmlformats.org/officeDocument/2006/relationships/hyperlink" Target="https://lcsc.com/product-detail/Multilayer-Ceramic-Capacitors-MLCC-SMD-SMT_Murata-Electronics-GRM31CR71H475KA12L_C77096.html" TargetMode="External"/><Relationship Id="rId23" Type="http://schemas.openxmlformats.org/officeDocument/2006/relationships/hyperlink" Target="https://lcsc.com/product-detail/Chip-Resistor-Surface-Mount_RALEC-RTT022492FTH_C102925.html" TargetMode="External"/><Relationship Id="rId28" Type="http://schemas.openxmlformats.org/officeDocument/2006/relationships/hyperlink" Target="https://lcsc.com/product-detail/Chip-Resistor-Surface-Mount_UNI-ROYAL-Uniroyal-Elec-0402WGJ0512TCE_C25941.html" TargetMode="External"/><Relationship Id="rId36" Type="http://schemas.openxmlformats.org/officeDocument/2006/relationships/hyperlink" Target="https://lcsc.com/product-detail/Chip-Resistor-Surface-Mount_RALEC-RTT032214FTP_C166858.html" TargetMode="External"/><Relationship Id="rId49" Type="http://schemas.openxmlformats.org/officeDocument/2006/relationships/hyperlink" Target="https://lcsc.com/brand-detail/11722.html" TargetMode="External"/><Relationship Id="rId57" Type="http://schemas.openxmlformats.org/officeDocument/2006/relationships/printerSettings" Target="../printerSettings/printerSettings1.bin"/><Relationship Id="rId10" Type="http://schemas.openxmlformats.org/officeDocument/2006/relationships/hyperlink" Target="https://lcsc.com/product-detail/Chip-Resistor-Surface-Mount_1-8KR-1801-1_C159960.html" TargetMode="External"/><Relationship Id="rId31" Type="http://schemas.openxmlformats.org/officeDocument/2006/relationships/hyperlink" Target="https://lcsc.com/product-detail/Dropout-Regulators-LDO_ON-Semiconductor-ON-NCP114BMX180TCG_C457759.html" TargetMode="External"/><Relationship Id="rId44" Type="http://schemas.openxmlformats.org/officeDocument/2006/relationships/hyperlink" Target="https://pl.aliexpress.com/item/4001193000381.html?spm=a2g0o.productlist.0.0.36781109QNyITh&amp;algo_pvid=03ac3ed0-edfe-4925-bd6d-e774082901ff&amp;algo_expid=03ac3ed0-edfe-4925-bd6d-e774082901ff-4&amp;btsid=0bb0622a16227089387861270eb744&amp;ws_ab_test=searchweb0_0,search" TargetMode="External"/><Relationship Id="rId52" Type="http://schemas.openxmlformats.org/officeDocument/2006/relationships/hyperlink" Target="https://french.alibaba.com/product-detail/bom-electronic-components-voltage-regulators-ic-automotive-36-v-4-a-synchronous-lm60440aqrpkrq1-1600215507702.html?spm=a2700.galleryofferlist.normal_offer.d_title.1fe51ea2t9Qz8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6"/>
  <sheetViews>
    <sheetView tabSelected="1" zoomScale="98" zoomScaleNormal="98" workbookViewId="0">
      <selection sqref="A1:T1"/>
    </sheetView>
  </sheetViews>
  <sheetFormatPr defaultRowHeight="15" x14ac:dyDescent="0.25"/>
  <cols>
    <col min="1" max="1" width="6.140625" style="85" bestFit="1" customWidth="1"/>
    <col min="2" max="2" width="14.42578125" customWidth="1"/>
    <col min="3" max="3" width="47.5703125" customWidth="1"/>
    <col min="4" max="4" width="41" bestFit="1" customWidth="1"/>
    <col min="5" max="5" width="21" bestFit="1" customWidth="1"/>
    <col min="6" max="6" width="29" bestFit="1" customWidth="1"/>
    <col min="7" max="7" width="19.140625" bestFit="1" customWidth="1"/>
    <col min="8" max="8" width="14.42578125" customWidth="1"/>
    <col min="9" max="9" width="21.5703125" bestFit="1" customWidth="1"/>
    <col min="10" max="10" width="6.140625" bestFit="1" customWidth="1"/>
    <col min="11" max="11" width="11.5703125" bestFit="1" customWidth="1"/>
    <col min="12" max="12" width="21.85546875" bestFit="1" customWidth="1"/>
    <col min="13" max="13" width="11.7109375" bestFit="1" customWidth="1"/>
    <col min="14" max="14" width="10.28515625" bestFit="1" customWidth="1"/>
    <col min="15" max="15" width="12.7109375" bestFit="1" customWidth="1"/>
    <col min="16" max="17" width="13.42578125" bestFit="1" customWidth="1"/>
    <col min="18" max="18" width="21" bestFit="1" customWidth="1"/>
    <col min="19" max="19" width="12.5703125" bestFit="1" customWidth="1"/>
    <col min="20" max="20" width="49.28515625" bestFit="1" customWidth="1"/>
  </cols>
  <sheetData>
    <row r="1" spans="1:22" ht="16.5" thickBot="1" x14ac:dyDescent="0.3">
      <c r="A1" s="200" t="s">
        <v>375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</row>
    <row r="2" spans="1:22" ht="16.5" thickBot="1" x14ac:dyDescent="0.3">
      <c r="A2" s="89" t="s">
        <v>0</v>
      </c>
      <c r="B2" s="123" t="s">
        <v>1</v>
      </c>
      <c r="C2" s="124" t="s">
        <v>2</v>
      </c>
      <c r="D2" s="124" t="s">
        <v>3</v>
      </c>
      <c r="E2" s="124" t="s">
        <v>4</v>
      </c>
      <c r="F2" s="124" t="s">
        <v>5</v>
      </c>
      <c r="G2" s="124" t="s">
        <v>6</v>
      </c>
      <c r="H2" s="124" t="s">
        <v>7</v>
      </c>
      <c r="I2" s="124" t="s">
        <v>8</v>
      </c>
      <c r="J2" s="124" t="s">
        <v>9</v>
      </c>
      <c r="K2" s="124" t="s">
        <v>10</v>
      </c>
      <c r="L2" s="124" t="s">
        <v>11</v>
      </c>
      <c r="M2" s="124" t="s">
        <v>12</v>
      </c>
      <c r="N2" s="125" t="s">
        <v>347</v>
      </c>
      <c r="O2" s="120" t="s">
        <v>13</v>
      </c>
      <c r="P2" s="120" t="s">
        <v>14</v>
      </c>
      <c r="Q2" s="90" t="s">
        <v>348</v>
      </c>
      <c r="R2" s="120" t="s">
        <v>15</v>
      </c>
      <c r="S2" s="121" t="s">
        <v>16</v>
      </c>
      <c r="T2" s="124" t="s">
        <v>17</v>
      </c>
    </row>
    <row r="3" spans="1:22" ht="15.75" thickBot="1" x14ac:dyDescent="0.3">
      <c r="A3" s="122">
        <v>1</v>
      </c>
      <c r="B3" s="209" t="s">
        <v>18</v>
      </c>
      <c r="C3" s="127" t="s">
        <v>19</v>
      </c>
      <c r="D3" s="2" t="s">
        <v>20</v>
      </c>
      <c r="E3" s="3" t="s">
        <v>21</v>
      </c>
      <c r="F3" s="2" t="s">
        <v>22</v>
      </c>
      <c r="G3" s="2" t="s">
        <v>23</v>
      </c>
      <c r="H3" s="190" t="s">
        <v>24</v>
      </c>
      <c r="I3" s="185" t="s">
        <v>25</v>
      </c>
      <c r="J3" s="3" t="s">
        <v>26</v>
      </c>
      <c r="K3" s="5">
        <v>100</v>
      </c>
      <c r="L3" s="4">
        <v>6</v>
      </c>
      <c r="M3" s="5">
        <f>L3*5</f>
        <v>30</v>
      </c>
      <c r="N3" s="6" t="s">
        <v>27</v>
      </c>
      <c r="O3" s="136">
        <v>1.9E-3</v>
      </c>
      <c r="P3" s="7">
        <f>O3*L3</f>
        <v>1.14E-2</v>
      </c>
      <c r="Q3" s="7">
        <f>O3*K3</f>
        <v>0.19</v>
      </c>
      <c r="R3" s="136">
        <v>1.9E-3</v>
      </c>
      <c r="S3" s="7">
        <f>R3*M3</f>
        <v>5.7000000000000002E-2</v>
      </c>
      <c r="T3" s="8"/>
      <c r="U3" s="9"/>
      <c r="V3" s="9"/>
    </row>
    <row r="4" spans="1:22" ht="15.75" thickBot="1" x14ac:dyDescent="0.3">
      <c r="A4" s="122">
        <v>2</v>
      </c>
      <c r="B4" s="210"/>
      <c r="C4" s="126" t="s">
        <v>28</v>
      </c>
      <c r="D4" s="11" t="s">
        <v>29</v>
      </c>
      <c r="E4" s="12" t="s">
        <v>30</v>
      </c>
      <c r="F4" s="18" t="s">
        <v>31</v>
      </c>
      <c r="G4" s="18" t="s">
        <v>23</v>
      </c>
      <c r="H4" s="170" t="s">
        <v>32</v>
      </c>
      <c r="I4" s="170" t="s">
        <v>33</v>
      </c>
      <c r="J4" s="12" t="s">
        <v>34</v>
      </c>
      <c r="K4" s="14">
        <v>30</v>
      </c>
      <c r="L4" s="13">
        <v>6</v>
      </c>
      <c r="M4" s="14">
        <f t="shared" ref="M4:M61" si="0">L4*5</f>
        <v>30</v>
      </c>
      <c r="N4" s="15" t="s">
        <v>27</v>
      </c>
      <c r="O4" s="137">
        <v>0.4743</v>
      </c>
      <c r="P4" s="16">
        <f t="shared" ref="P4:P61" si="1">O4*L4</f>
        <v>2.8458000000000001</v>
      </c>
      <c r="Q4" s="16">
        <f t="shared" ref="Q4:Q53" si="2">O4*K4</f>
        <v>14.228999999999999</v>
      </c>
      <c r="R4" s="138">
        <v>0.33910000000000001</v>
      </c>
      <c r="S4" s="16">
        <f t="shared" ref="S4:S61" si="3">R4*M4</f>
        <v>10.173</v>
      </c>
      <c r="T4" s="17"/>
      <c r="U4" s="9"/>
      <c r="V4" s="9"/>
    </row>
    <row r="5" spans="1:22" ht="15.75" thickBot="1" x14ac:dyDescent="0.3">
      <c r="A5" s="122">
        <v>3</v>
      </c>
      <c r="B5" s="210"/>
      <c r="C5" s="126" t="s">
        <v>35</v>
      </c>
      <c r="D5" s="18" t="s">
        <v>36</v>
      </c>
      <c r="E5" s="12" t="s">
        <v>30</v>
      </c>
      <c r="F5" s="18" t="s">
        <v>37</v>
      </c>
      <c r="G5" s="18" t="s">
        <v>23</v>
      </c>
      <c r="H5" s="170" t="s">
        <v>38</v>
      </c>
      <c r="I5" s="171" t="s">
        <v>39</v>
      </c>
      <c r="J5" s="12" t="s">
        <v>40</v>
      </c>
      <c r="K5" s="14">
        <v>30</v>
      </c>
      <c r="L5" s="13">
        <v>5</v>
      </c>
      <c r="M5" s="14">
        <f t="shared" si="0"/>
        <v>25</v>
      </c>
      <c r="N5" s="15" t="s">
        <v>27</v>
      </c>
      <c r="O5" s="137">
        <v>0.10920000000000001</v>
      </c>
      <c r="P5" s="16">
        <f t="shared" si="1"/>
        <v>0.54600000000000004</v>
      </c>
      <c r="Q5" s="16">
        <f t="shared" si="2"/>
        <v>3.2760000000000002</v>
      </c>
      <c r="R5" s="137">
        <v>0.10920000000000001</v>
      </c>
      <c r="S5" s="16">
        <f t="shared" si="3"/>
        <v>2.73</v>
      </c>
      <c r="T5" s="17"/>
      <c r="U5" s="9"/>
      <c r="V5" s="9"/>
    </row>
    <row r="6" spans="1:22" ht="15.75" thickBot="1" x14ac:dyDescent="0.3">
      <c r="A6" s="122">
        <v>4</v>
      </c>
      <c r="B6" s="210"/>
      <c r="C6" s="126" t="s">
        <v>41</v>
      </c>
      <c r="D6" s="18" t="s">
        <v>42</v>
      </c>
      <c r="E6" s="12" t="s">
        <v>30</v>
      </c>
      <c r="F6" s="18" t="s">
        <v>43</v>
      </c>
      <c r="G6" s="18" t="s">
        <v>44</v>
      </c>
      <c r="H6" s="170" t="s">
        <v>45</v>
      </c>
      <c r="I6" s="171" t="s">
        <v>46</v>
      </c>
      <c r="J6" s="12" t="s">
        <v>47</v>
      </c>
      <c r="K6" s="14">
        <v>20</v>
      </c>
      <c r="L6" s="13">
        <v>2</v>
      </c>
      <c r="M6" s="14">
        <f t="shared" si="0"/>
        <v>10</v>
      </c>
      <c r="N6" s="20" t="s">
        <v>27</v>
      </c>
      <c r="O6" s="152">
        <v>2.8199999999999999E-2</v>
      </c>
      <c r="P6" s="151">
        <f t="shared" si="1"/>
        <v>5.6399999999999999E-2</v>
      </c>
      <c r="Q6" s="151">
        <f t="shared" si="2"/>
        <v>0.56399999999999995</v>
      </c>
      <c r="R6" s="152">
        <v>2.8199999999999999E-2</v>
      </c>
      <c r="S6" s="16">
        <f t="shared" si="3"/>
        <v>0.28199999999999997</v>
      </c>
      <c r="T6" s="17"/>
      <c r="U6" s="9"/>
      <c r="V6" s="9"/>
    </row>
    <row r="7" spans="1:22" ht="15.75" thickBot="1" x14ac:dyDescent="0.3">
      <c r="A7" s="122">
        <v>5</v>
      </c>
      <c r="B7" s="210"/>
      <c r="C7" s="169" t="s">
        <v>360</v>
      </c>
      <c r="D7" s="11" t="s">
        <v>48</v>
      </c>
      <c r="E7" s="18" t="s">
        <v>21</v>
      </c>
      <c r="F7" s="18" t="s">
        <v>49</v>
      </c>
      <c r="G7" s="18" t="s">
        <v>50</v>
      </c>
      <c r="H7" s="170" t="s">
        <v>372</v>
      </c>
      <c r="I7" s="171" t="s">
        <v>370</v>
      </c>
      <c r="J7" s="18" t="s">
        <v>51</v>
      </c>
      <c r="K7" s="172">
        <v>50</v>
      </c>
      <c r="L7" s="92">
        <v>7</v>
      </c>
      <c r="M7" s="101">
        <f t="shared" si="0"/>
        <v>35</v>
      </c>
      <c r="N7" s="20" t="s">
        <v>27</v>
      </c>
      <c r="O7" s="173">
        <v>1.54E-2</v>
      </c>
      <c r="P7" s="174">
        <f t="shared" si="1"/>
        <v>0.10780000000000001</v>
      </c>
      <c r="Q7" s="174">
        <f t="shared" si="2"/>
        <v>0.77</v>
      </c>
      <c r="R7" s="173">
        <v>1.54E-2</v>
      </c>
      <c r="S7" s="175">
        <f>R7*K7</f>
        <v>0.77</v>
      </c>
      <c r="T7" s="54" t="s">
        <v>371</v>
      </c>
      <c r="U7" s="9"/>
      <c r="V7" s="9"/>
    </row>
    <row r="8" spans="1:22" ht="15.75" thickBot="1" x14ac:dyDescent="0.3">
      <c r="A8" s="122">
        <v>6</v>
      </c>
      <c r="B8" s="210"/>
      <c r="C8" s="126" t="s">
        <v>52</v>
      </c>
      <c r="D8" s="18" t="s">
        <v>53</v>
      </c>
      <c r="E8" s="12" t="s">
        <v>30</v>
      </c>
      <c r="F8" s="18" t="s">
        <v>54</v>
      </c>
      <c r="G8" s="18" t="s">
        <v>23</v>
      </c>
      <c r="H8" s="170" t="s">
        <v>55</v>
      </c>
      <c r="I8" s="171" t="s">
        <v>56</v>
      </c>
      <c r="J8" s="12" t="s">
        <v>57</v>
      </c>
      <c r="K8" s="14">
        <v>5</v>
      </c>
      <c r="L8" s="13">
        <v>1</v>
      </c>
      <c r="M8" s="14">
        <f t="shared" si="0"/>
        <v>5</v>
      </c>
      <c r="N8" s="20" t="s">
        <v>27</v>
      </c>
      <c r="O8" s="137">
        <v>0.2591</v>
      </c>
      <c r="P8" s="16">
        <f t="shared" si="1"/>
        <v>0.2591</v>
      </c>
      <c r="Q8" s="16">
        <f t="shared" si="2"/>
        <v>1.2955000000000001</v>
      </c>
      <c r="R8" s="137">
        <v>0.2591</v>
      </c>
      <c r="S8" s="16">
        <f t="shared" si="3"/>
        <v>1.2955000000000001</v>
      </c>
      <c r="T8" s="17"/>
      <c r="U8" s="9"/>
      <c r="V8" s="9"/>
    </row>
    <row r="9" spans="1:22" ht="15.75" thickBot="1" x14ac:dyDescent="0.3">
      <c r="A9" s="122">
        <v>7</v>
      </c>
      <c r="B9" s="210"/>
      <c r="C9" s="126" t="s">
        <v>58</v>
      </c>
      <c r="D9" s="18" t="s">
        <v>59</v>
      </c>
      <c r="E9" s="12" t="s">
        <v>60</v>
      </c>
      <c r="F9" s="18" t="s">
        <v>61</v>
      </c>
      <c r="G9" s="18" t="s">
        <v>62</v>
      </c>
      <c r="H9" s="170" t="s">
        <v>364</v>
      </c>
      <c r="I9" s="170" t="s">
        <v>363</v>
      </c>
      <c r="J9" s="12" t="s">
        <v>63</v>
      </c>
      <c r="K9" s="14">
        <v>10</v>
      </c>
      <c r="L9" s="13">
        <v>2</v>
      </c>
      <c r="M9" s="14">
        <f t="shared" si="0"/>
        <v>10</v>
      </c>
      <c r="N9" s="153" t="s">
        <v>27</v>
      </c>
      <c r="O9" s="138">
        <v>0.1777</v>
      </c>
      <c r="P9" s="16">
        <f t="shared" si="1"/>
        <v>0.35539999999999999</v>
      </c>
      <c r="Q9" s="16">
        <f t="shared" si="2"/>
        <v>1.7769999999999999</v>
      </c>
      <c r="R9" s="138">
        <v>0.1308</v>
      </c>
      <c r="S9" s="16">
        <f t="shared" si="3"/>
        <v>1.3080000000000001</v>
      </c>
      <c r="T9" s="17"/>
      <c r="U9" s="9"/>
      <c r="V9" s="9"/>
    </row>
    <row r="10" spans="1:22" ht="15.75" thickBot="1" x14ac:dyDescent="0.3">
      <c r="A10" s="122">
        <v>8</v>
      </c>
      <c r="B10" s="210"/>
      <c r="C10" s="165" t="s">
        <v>64</v>
      </c>
      <c r="D10" s="94" t="s">
        <v>65</v>
      </c>
      <c r="E10" s="42" t="s">
        <v>66</v>
      </c>
      <c r="F10" s="171" t="s">
        <v>69</v>
      </c>
      <c r="G10" s="18" t="s">
        <v>67</v>
      </c>
      <c r="H10" s="170" t="s">
        <v>68</v>
      </c>
      <c r="I10" s="191"/>
      <c r="J10" s="42" t="s">
        <v>70</v>
      </c>
      <c r="K10" s="52">
        <v>15</v>
      </c>
      <c r="L10" s="51">
        <v>3</v>
      </c>
      <c r="M10" s="52">
        <f t="shared" si="0"/>
        <v>15</v>
      </c>
      <c r="N10" s="166" t="s">
        <v>27</v>
      </c>
      <c r="O10" s="142">
        <v>0.49769999999999998</v>
      </c>
      <c r="P10" s="143">
        <f t="shared" si="1"/>
        <v>1.4930999999999999</v>
      </c>
      <c r="Q10" s="143">
        <f t="shared" si="2"/>
        <v>7.4654999999999996</v>
      </c>
      <c r="R10" s="167">
        <v>0.3896</v>
      </c>
      <c r="S10" s="143">
        <f t="shared" si="3"/>
        <v>5.8440000000000003</v>
      </c>
      <c r="T10" s="168"/>
      <c r="U10" s="9"/>
      <c r="V10" s="9"/>
    </row>
    <row r="11" spans="1:22" ht="15.75" thickBot="1" x14ac:dyDescent="0.3">
      <c r="A11" s="122">
        <v>9</v>
      </c>
      <c r="B11" s="210"/>
      <c r="C11" s="165" t="s">
        <v>71</v>
      </c>
      <c r="D11" s="42" t="s">
        <v>72</v>
      </c>
      <c r="E11" s="42" t="s">
        <v>66</v>
      </c>
      <c r="F11" s="171" t="s">
        <v>74</v>
      </c>
      <c r="G11" s="18" t="s">
        <v>67</v>
      </c>
      <c r="H11" s="170" t="s">
        <v>73</v>
      </c>
      <c r="I11" s="191"/>
      <c r="J11" s="42" t="s">
        <v>63</v>
      </c>
      <c r="K11" s="52">
        <v>5</v>
      </c>
      <c r="L11" s="51">
        <v>1</v>
      </c>
      <c r="M11" s="52">
        <f t="shared" si="0"/>
        <v>5</v>
      </c>
      <c r="N11" s="166" t="s">
        <v>27</v>
      </c>
      <c r="O11" s="142">
        <v>8.1000000000000003E-2</v>
      </c>
      <c r="P11" s="143">
        <f t="shared" si="1"/>
        <v>8.1000000000000003E-2</v>
      </c>
      <c r="Q11" s="143">
        <f t="shared" si="2"/>
        <v>0.40500000000000003</v>
      </c>
      <c r="R11" s="142">
        <v>8.1000000000000003E-2</v>
      </c>
      <c r="S11" s="143">
        <f t="shared" si="3"/>
        <v>0.40500000000000003</v>
      </c>
      <c r="T11" s="168"/>
      <c r="U11" s="9"/>
      <c r="V11" s="9"/>
    </row>
    <row r="12" spans="1:22" ht="15.75" thickBot="1" x14ac:dyDescent="0.3">
      <c r="A12" s="122">
        <v>10</v>
      </c>
      <c r="B12" s="211"/>
      <c r="C12" s="128" t="s">
        <v>75</v>
      </c>
      <c r="D12" s="23" t="s">
        <v>76</v>
      </c>
      <c r="E12" s="24" t="s">
        <v>21</v>
      </c>
      <c r="F12" s="171" t="s">
        <v>77</v>
      </c>
      <c r="G12" s="18" t="s">
        <v>62</v>
      </c>
      <c r="H12" s="170" t="s">
        <v>78</v>
      </c>
      <c r="I12" s="171" t="s">
        <v>79</v>
      </c>
      <c r="J12" s="24" t="s">
        <v>80</v>
      </c>
      <c r="K12" s="27">
        <v>100</v>
      </c>
      <c r="L12" s="25">
        <v>3</v>
      </c>
      <c r="M12" s="27">
        <f t="shared" si="0"/>
        <v>15</v>
      </c>
      <c r="N12" s="28" t="s">
        <v>27</v>
      </c>
      <c r="O12" s="141">
        <v>3.0999999999999999E-3</v>
      </c>
      <c r="P12" s="29">
        <f t="shared" si="1"/>
        <v>9.2999999999999992E-3</v>
      </c>
      <c r="Q12" s="29">
        <f t="shared" si="2"/>
        <v>0.31</v>
      </c>
      <c r="R12" s="141">
        <v>3.0999999999999999E-3</v>
      </c>
      <c r="S12" s="29">
        <f t="shared" si="3"/>
        <v>4.65E-2</v>
      </c>
      <c r="T12" s="31"/>
      <c r="U12" s="9"/>
      <c r="V12" s="9"/>
    </row>
    <row r="13" spans="1:22" ht="15.75" thickBot="1" x14ac:dyDescent="0.3">
      <c r="A13" s="122">
        <v>11</v>
      </c>
      <c r="B13" s="203" t="s">
        <v>81</v>
      </c>
      <c r="C13" s="1" t="s">
        <v>82</v>
      </c>
      <c r="D13" s="32" t="s">
        <v>83</v>
      </c>
      <c r="E13" s="3" t="s">
        <v>84</v>
      </c>
      <c r="F13" s="2" t="s">
        <v>85</v>
      </c>
      <c r="G13" s="2" t="s">
        <v>86</v>
      </c>
      <c r="H13" s="190" t="s">
        <v>87</v>
      </c>
      <c r="I13" s="186" t="s">
        <v>88</v>
      </c>
      <c r="J13" s="3" t="s">
        <v>89</v>
      </c>
      <c r="K13" s="5">
        <v>20</v>
      </c>
      <c r="L13" s="4">
        <v>4</v>
      </c>
      <c r="M13" s="5">
        <f t="shared" si="0"/>
        <v>20</v>
      </c>
      <c r="N13" s="112" t="s">
        <v>27</v>
      </c>
      <c r="O13" s="136">
        <v>3.0800000000000001E-2</v>
      </c>
      <c r="P13" s="7">
        <f t="shared" si="1"/>
        <v>0.1232</v>
      </c>
      <c r="Q13" s="7">
        <f t="shared" si="2"/>
        <v>0.61599999999999999</v>
      </c>
      <c r="R13" s="136">
        <v>3.0800000000000001E-2</v>
      </c>
      <c r="S13" s="7">
        <f t="shared" si="3"/>
        <v>0.61599999999999999</v>
      </c>
      <c r="T13" s="34"/>
      <c r="U13" s="9"/>
      <c r="V13" s="9"/>
    </row>
    <row r="14" spans="1:22" ht="15.75" thickBot="1" x14ac:dyDescent="0.3">
      <c r="A14" s="122">
        <v>12</v>
      </c>
      <c r="B14" s="202"/>
      <c r="C14" s="10" t="s">
        <v>90</v>
      </c>
      <c r="D14" s="12" t="s">
        <v>91</v>
      </c>
      <c r="E14" s="12" t="s">
        <v>92</v>
      </c>
      <c r="F14" s="18" t="s">
        <v>93</v>
      </c>
      <c r="G14" s="18" t="s">
        <v>94</v>
      </c>
      <c r="H14" s="170" t="s">
        <v>95</v>
      </c>
      <c r="I14" s="171" t="s">
        <v>96</v>
      </c>
      <c r="J14" s="12" t="s">
        <v>89</v>
      </c>
      <c r="K14" s="14">
        <v>10</v>
      </c>
      <c r="L14" s="13">
        <v>2</v>
      </c>
      <c r="M14" s="5">
        <f t="shared" si="0"/>
        <v>10</v>
      </c>
      <c r="N14" s="109" t="s">
        <v>27</v>
      </c>
      <c r="O14" s="137">
        <v>6.2199999999999998E-2</v>
      </c>
      <c r="P14" s="16">
        <f t="shared" si="1"/>
        <v>0.1244</v>
      </c>
      <c r="Q14" s="16">
        <f t="shared" si="2"/>
        <v>0.622</v>
      </c>
      <c r="R14" s="137">
        <v>6.2199999999999998E-2</v>
      </c>
      <c r="S14" s="16">
        <f t="shared" si="3"/>
        <v>0.622</v>
      </c>
      <c r="T14" s="17"/>
      <c r="U14" s="9"/>
      <c r="V14" s="9"/>
    </row>
    <row r="15" spans="1:22" ht="15.75" thickBot="1" x14ac:dyDescent="0.3">
      <c r="A15" s="122">
        <v>13</v>
      </c>
      <c r="B15" s="204"/>
      <c r="C15" s="22" t="s">
        <v>97</v>
      </c>
      <c r="D15" s="24" t="s">
        <v>98</v>
      </c>
      <c r="E15" s="24" t="s">
        <v>99</v>
      </c>
      <c r="F15" s="23" t="s">
        <v>100</v>
      </c>
      <c r="G15" s="23" t="s">
        <v>101</v>
      </c>
      <c r="H15" s="183" t="s">
        <v>102</v>
      </c>
      <c r="I15" s="184" t="s">
        <v>89</v>
      </c>
      <c r="J15" s="24" t="s">
        <v>89</v>
      </c>
      <c r="K15" s="27">
        <v>10</v>
      </c>
      <c r="L15" s="25">
        <v>1</v>
      </c>
      <c r="M15" s="106">
        <f t="shared" si="0"/>
        <v>5</v>
      </c>
      <c r="N15" s="111" t="s">
        <v>27</v>
      </c>
      <c r="O15" s="141">
        <v>4.1799999999999997E-2</v>
      </c>
      <c r="P15" s="29">
        <f t="shared" si="1"/>
        <v>4.1799999999999997E-2</v>
      </c>
      <c r="Q15" s="29">
        <f t="shared" si="2"/>
        <v>0.41799999999999998</v>
      </c>
      <c r="R15" s="141">
        <v>4.1799999999999997E-2</v>
      </c>
      <c r="S15" s="29">
        <f t="shared" si="3"/>
        <v>0.20899999999999999</v>
      </c>
      <c r="T15" s="31"/>
      <c r="U15" s="9"/>
      <c r="V15" s="9"/>
    </row>
    <row r="16" spans="1:22" ht="15.75" thickBot="1" x14ac:dyDescent="0.3">
      <c r="A16" s="122">
        <v>14</v>
      </c>
      <c r="B16" s="203" t="s">
        <v>103</v>
      </c>
      <c r="C16" s="36" t="s">
        <v>104</v>
      </c>
      <c r="D16" s="37" t="s">
        <v>105</v>
      </c>
      <c r="E16" s="37" t="s">
        <v>66</v>
      </c>
      <c r="F16" s="32" t="s">
        <v>106</v>
      </c>
      <c r="G16" s="32" t="s">
        <v>107</v>
      </c>
      <c r="H16" s="185" t="s">
        <v>108</v>
      </c>
      <c r="I16" s="186" t="s">
        <v>109</v>
      </c>
      <c r="J16" s="37" t="s">
        <v>110</v>
      </c>
      <c r="K16" s="5">
        <v>5</v>
      </c>
      <c r="L16" s="38">
        <v>1</v>
      </c>
      <c r="M16" s="5">
        <f t="shared" si="0"/>
        <v>5</v>
      </c>
      <c r="N16" s="112" t="s">
        <v>27</v>
      </c>
      <c r="O16" s="136">
        <v>0.3679</v>
      </c>
      <c r="P16" s="7">
        <f t="shared" si="1"/>
        <v>0.3679</v>
      </c>
      <c r="Q16" s="7">
        <f t="shared" si="2"/>
        <v>1.8395000000000001</v>
      </c>
      <c r="R16" s="136">
        <v>0.3679</v>
      </c>
      <c r="S16" s="7">
        <f t="shared" si="3"/>
        <v>1.8395000000000001</v>
      </c>
      <c r="T16" s="39"/>
      <c r="U16" s="9"/>
      <c r="V16" s="9"/>
    </row>
    <row r="17" spans="1:22" ht="15.75" thickBot="1" x14ac:dyDescent="0.3">
      <c r="A17" s="122">
        <v>15</v>
      </c>
      <c r="B17" s="204"/>
      <c r="C17" s="179" t="s">
        <v>111</v>
      </c>
      <c r="D17" s="41" t="s">
        <v>112</v>
      </c>
      <c r="E17" s="41" t="s">
        <v>66</v>
      </c>
      <c r="F17" s="41" t="s">
        <v>113</v>
      </c>
      <c r="G17" s="41" t="s">
        <v>23</v>
      </c>
      <c r="H17" s="23" t="s">
        <v>109</v>
      </c>
      <c r="I17" s="181" t="s">
        <v>294</v>
      </c>
      <c r="J17" s="41" t="s">
        <v>114</v>
      </c>
      <c r="K17" s="180">
        <v>75</v>
      </c>
      <c r="L17" s="104">
        <v>1</v>
      </c>
      <c r="M17" s="105">
        <f t="shared" si="0"/>
        <v>5</v>
      </c>
      <c r="N17" s="112" t="s">
        <v>373</v>
      </c>
      <c r="O17" s="176">
        <v>0.20810999999999999</v>
      </c>
      <c r="P17" s="177">
        <f t="shared" si="1"/>
        <v>0.20810999999999999</v>
      </c>
      <c r="Q17" s="177">
        <f t="shared" si="2"/>
        <v>15.60825</v>
      </c>
      <c r="R17" s="176">
        <v>0.20810999999999999</v>
      </c>
      <c r="S17" s="182">
        <f>R17*K17</f>
        <v>15.60825</v>
      </c>
      <c r="T17" s="178"/>
      <c r="U17" s="9"/>
      <c r="V17" s="9"/>
    </row>
    <row r="18" spans="1:22" ht="15.75" thickBot="1" x14ac:dyDescent="0.3">
      <c r="A18" s="122">
        <v>16</v>
      </c>
      <c r="B18" s="203" t="s">
        <v>116</v>
      </c>
      <c r="C18" s="1" t="s">
        <v>117</v>
      </c>
      <c r="D18" s="32" t="s">
        <v>118</v>
      </c>
      <c r="E18" s="3" t="s">
        <v>119</v>
      </c>
      <c r="F18" s="2" t="s">
        <v>120</v>
      </c>
      <c r="G18" s="2" t="s">
        <v>101</v>
      </c>
      <c r="H18" s="185" t="s">
        <v>121</v>
      </c>
      <c r="I18" s="192"/>
      <c r="J18" s="3" t="s">
        <v>89</v>
      </c>
      <c r="K18" s="5">
        <v>15</v>
      </c>
      <c r="L18" s="4">
        <v>3</v>
      </c>
      <c r="M18" s="5">
        <f t="shared" si="0"/>
        <v>15</v>
      </c>
      <c r="N18" s="112" t="s">
        <v>27</v>
      </c>
      <c r="O18" s="136">
        <v>0.13919999999999999</v>
      </c>
      <c r="P18" s="7">
        <f t="shared" si="1"/>
        <v>0.41759999999999997</v>
      </c>
      <c r="Q18" s="7">
        <f t="shared" si="2"/>
        <v>2.0880000000000001</v>
      </c>
      <c r="R18" s="136">
        <v>0.13919999999999999</v>
      </c>
      <c r="S18" s="7">
        <f t="shared" si="3"/>
        <v>2.0880000000000001</v>
      </c>
      <c r="T18" s="34"/>
      <c r="U18" s="9"/>
      <c r="V18" s="9"/>
    </row>
    <row r="19" spans="1:22" ht="15.75" thickBot="1" x14ac:dyDescent="0.3">
      <c r="A19" s="122">
        <v>17</v>
      </c>
      <c r="B19" s="204"/>
      <c r="C19" s="22" t="s">
        <v>122</v>
      </c>
      <c r="D19" s="41" t="s">
        <v>123</v>
      </c>
      <c r="E19" s="24" t="s">
        <v>124</v>
      </c>
      <c r="F19" s="23" t="s">
        <v>125</v>
      </c>
      <c r="G19" s="23" t="s">
        <v>126</v>
      </c>
      <c r="H19" s="180" t="s">
        <v>350</v>
      </c>
      <c r="I19" s="183" t="s">
        <v>349</v>
      </c>
      <c r="J19" s="24" t="s">
        <v>127</v>
      </c>
      <c r="K19" s="27">
        <v>10</v>
      </c>
      <c r="L19" s="25">
        <v>2</v>
      </c>
      <c r="M19" s="106">
        <f t="shared" si="0"/>
        <v>10</v>
      </c>
      <c r="N19" s="111" t="s">
        <v>27</v>
      </c>
      <c r="O19" s="141">
        <v>9.3799999999999994E-2</v>
      </c>
      <c r="P19" s="29">
        <f t="shared" si="1"/>
        <v>0.18759999999999999</v>
      </c>
      <c r="Q19" s="29">
        <f t="shared" si="2"/>
        <v>0.93799999999999994</v>
      </c>
      <c r="R19" s="141">
        <v>9.3799999999999994E-2</v>
      </c>
      <c r="S19" s="29">
        <f t="shared" si="3"/>
        <v>0.93799999999999994</v>
      </c>
      <c r="T19" s="31"/>
      <c r="U19" s="9"/>
      <c r="V19" s="9"/>
    </row>
    <row r="20" spans="1:22" ht="15.75" thickBot="1" x14ac:dyDescent="0.3">
      <c r="A20" s="122">
        <v>18</v>
      </c>
      <c r="B20" s="203" t="s">
        <v>128</v>
      </c>
      <c r="C20" s="1" t="s">
        <v>129</v>
      </c>
      <c r="D20" s="2" t="s">
        <v>130</v>
      </c>
      <c r="E20" s="3" t="s">
        <v>131</v>
      </c>
      <c r="F20" s="2" t="s">
        <v>132</v>
      </c>
      <c r="G20" s="2" t="s">
        <v>133</v>
      </c>
      <c r="H20" s="190" t="s">
        <v>134</v>
      </c>
      <c r="I20" s="185" t="s">
        <v>135</v>
      </c>
      <c r="J20" s="3" t="s">
        <v>136</v>
      </c>
      <c r="K20" s="5">
        <v>20</v>
      </c>
      <c r="L20" s="4">
        <v>3</v>
      </c>
      <c r="M20" s="5">
        <f t="shared" si="0"/>
        <v>15</v>
      </c>
      <c r="N20" s="107" t="s">
        <v>27</v>
      </c>
      <c r="O20" s="136">
        <v>4.7899999999999998E-2</v>
      </c>
      <c r="P20" s="7">
        <f t="shared" si="1"/>
        <v>0.14369999999999999</v>
      </c>
      <c r="Q20" s="7">
        <f t="shared" si="2"/>
        <v>0.95799999999999996</v>
      </c>
      <c r="R20" s="136">
        <v>4.7899999999999998E-2</v>
      </c>
      <c r="S20" s="7">
        <f t="shared" si="3"/>
        <v>0.71849999999999992</v>
      </c>
      <c r="T20" s="8"/>
      <c r="U20" s="9"/>
      <c r="V20" s="9"/>
    </row>
    <row r="21" spans="1:22" ht="15.75" thickBot="1" x14ac:dyDescent="0.3">
      <c r="A21" s="122">
        <v>19</v>
      </c>
      <c r="B21" s="202"/>
      <c r="C21" s="10" t="s">
        <v>137</v>
      </c>
      <c r="D21" s="18" t="s">
        <v>138</v>
      </c>
      <c r="E21" s="12" t="s">
        <v>131</v>
      </c>
      <c r="F21" s="18" t="s">
        <v>139</v>
      </c>
      <c r="G21" s="18" t="s">
        <v>133</v>
      </c>
      <c r="H21" s="170" t="s">
        <v>140</v>
      </c>
      <c r="I21" s="170" t="s">
        <v>141</v>
      </c>
      <c r="J21" s="12" t="s">
        <v>142</v>
      </c>
      <c r="K21" s="14">
        <v>50</v>
      </c>
      <c r="L21" s="13">
        <v>4</v>
      </c>
      <c r="M21" s="5">
        <f t="shared" si="0"/>
        <v>20</v>
      </c>
      <c r="N21" s="108" t="s">
        <v>27</v>
      </c>
      <c r="O21" s="137">
        <v>4.4000000000000003E-3</v>
      </c>
      <c r="P21" s="16">
        <f t="shared" si="1"/>
        <v>1.7600000000000001E-2</v>
      </c>
      <c r="Q21" s="16">
        <f t="shared" si="2"/>
        <v>0.22</v>
      </c>
      <c r="R21" s="137">
        <v>4.4000000000000003E-3</v>
      </c>
      <c r="S21" s="16">
        <f t="shared" si="3"/>
        <v>8.8000000000000009E-2</v>
      </c>
      <c r="T21" s="17" t="s">
        <v>354</v>
      </c>
      <c r="U21" s="9"/>
      <c r="V21" s="9"/>
    </row>
    <row r="22" spans="1:22" ht="15.75" thickBot="1" x14ac:dyDescent="0.3">
      <c r="A22" s="122">
        <v>20</v>
      </c>
      <c r="B22" s="202"/>
      <c r="C22" s="187" t="s">
        <v>143</v>
      </c>
      <c r="D22" s="18" t="s">
        <v>144</v>
      </c>
      <c r="E22" s="18" t="s">
        <v>131</v>
      </c>
      <c r="F22" s="18" t="s">
        <v>145</v>
      </c>
      <c r="G22" s="18" t="s">
        <v>133</v>
      </c>
      <c r="H22" s="170" t="s">
        <v>146</v>
      </c>
      <c r="I22" s="193" t="s">
        <v>147</v>
      </c>
      <c r="J22" s="18" t="s">
        <v>148</v>
      </c>
      <c r="K22" s="172">
        <v>100</v>
      </c>
      <c r="L22" s="92">
        <v>3</v>
      </c>
      <c r="M22" s="102">
        <f t="shared" si="0"/>
        <v>15</v>
      </c>
      <c r="N22" s="188" t="s">
        <v>27</v>
      </c>
      <c r="O22" s="173">
        <v>1E-3</v>
      </c>
      <c r="P22" s="174">
        <f t="shared" si="1"/>
        <v>3.0000000000000001E-3</v>
      </c>
      <c r="Q22" s="174">
        <f t="shared" si="2"/>
        <v>0.1</v>
      </c>
      <c r="R22" s="173">
        <v>1E-3</v>
      </c>
      <c r="S22" s="174">
        <f t="shared" si="3"/>
        <v>1.4999999999999999E-2</v>
      </c>
      <c r="T22" s="189" t="s">
        <v>351</v>
      </c>
      <c r="U22" s="9"/>
      <c r="V22" s="9"/>
    </row>
    <row r="23" spans="1:22" ht="15.75" thickBot="1" x14ac:dyDescent="0.3">
      <c r="A23" s="122">
        <v>21</v>
      </c>
      <c r="B23" s="202"/>
      <c r="C23" s="10" t="s">
        <v>149</v>
      </c>
      <c r="D23" s="42" t="s">
        <v>150</v>
      </c>
      <c r="E23" s="12" t="s">
        <v>131</v>
      </c>
      <c r="F23" s="18" t="s">
        <v>151</v>
      </c>
      <c r="G23" s="18" t="s">
        <v>133</v>
      </c>
      <c r="H23" s="170" t="s">
        <v>152</v>
      </c>
      <c r="I23" s="18" t="s">
        <v>153</v>
      </c>
      <c r="J23" s="12" t="s">
        <v>154</v>
      </c>
      <c r="K23" s="14">
        <v>50</v>
      </c>
      <c r="L23" s="43">
        <v>1</v>
      </c>
      <c r="M23" s="5">
        <f t="shared" si="0"/>
        <v>5</v>
      </c>
      <c r="N23" s="109" t="s">
        <v>27</v>
      </c>
      <c r="O23" s="137">
        <v>1.2999999999999999E-3</v>
      </c>
      <c r="P23" s="16">
        <f t="shared" si="1"/>
        <v>1.2999999999999999E-3</v>
      </c>
      <c r="Q23" s="16">
        <f t="shared" si="2"/>
        <v>6.5000000000000002E-2</v>
      </c>
      <c r="R23" s="137">
        <v>1.2999999999999999E-3</v>
      </c>
      <c r="S23" s="16">
        <f t="shared" si="3"/>
        <v>6.4999999999999997E-3</v>
      </c>
      <c r="T23" s="17" t="s">
        <v>351</v>
      </c>
      <c r="U23" s="9"/>
      <c r="V23" s="9"/>
    </row>
    <row r="24" spans="1:22" ht="15.75" thickBot="1" x14ac:dyDescent="0.3">
      <c r="A24" s="122">
        <v>22</v>
      </c>
      <c r="B24" s="202"/>
      <c r="C24" s="10" t="s">
        <v>155</v>
      </c>
      <c r="D24" s="42" t="s">
        <v>156</v>
      </c>
      <c r="E24" s="12" t="s">
        <v>131</v>
      </c>
      <c r="F24" s="18" t="s">
        <v>157</v>
      </c>
      <c r="G24" s="18" t="s">
        <v>133</v>
      </c>
      <c r="H24" s="170" t="s">
        <v>158</v>
      </c>
      <c r="I24" s="18" t="s">
        <v>159</v>
      </c>
      <c r="J24" s="12" t="s">
        <v>160</v>
      </c>
      <c r="K24" s="12">
        <v>100</v>
      </c>
      <c r="L24" s="43">
        <v>1</v>
      </c>
      <c r="M24" s="5">
        <f t="shared" si="0"/>
        <v>5</v>
      </c>
      <c r="N24" s="109" t="s">
        <v>27</v>
      </c>
      <c r="O24" s="137">
        <v>8.0000000000000004E-4</v>
      </c>
      <c r="P24" s="16">
        <f t="shared" si="1"/>
        <v>8.0000000000000004E-4</v>
      </c>
      <c r="Q24" s="16">
        <f t="shared" si="2"/>
        <v>0.08</v>
      </c>
      <c r="R24" s="137">
        <v>8.0000000000000004E-4</v>
      </c>
      <c r="S24" s="16">
        <f t="shared" si="3"/>
        <v>4.0000000000000001E-3</v>
      </c>
      <c r="T24" s="17" t="s">
        <v>351</v>
      </c>
      <c r="U24" s="9"/>
      <c r="V24" s="9"/>
    </row>
    <row r="25" spans="1:22" ht="15.75" thickBot="1" x14ac:dyDescent="0.3">
      <c r="A25" s="122">
        <v>23</v>
      </c>
      <c r="B25" s="202"/>
      <c r="C25" s="154" t="s">
        <v>161</v>
      </c>
      <c r="D25" s="91" t="s">
        <v>162</v>
      </c>
      <c r="E25" s="91" t="s">
        <v>163</v>
      </c>
      <c r="F25" s="91" t="s">
        <v>164</v>
      </c>
      <c r="G25" s="91" t="s">
        <v>165</v>
      </c>
      <c r="H25" s="92" t="s">
        <v>166</v>
      </c>
      <c r="I25" s="91" t="s">
        <v>167</v>
      </c>
      <c r="J25" s="91" t="s">
        <v>168</v>
      </c>
      <c r="K25" s="91">
        <v>50</v>
      </c>
      <c r="L25" s="155">
        <v>1</v>
      </c>
      <c r="M25" s="102">
        <f t="shared" si="0"/>
        <v>5</v>
      </c>
      <c r="N25" s="110" t="s">
        <v>27</v>
      </c>
      <c r="O25" s="139">
        <v>1.83E-2</v>
      </c>
      <c r="P25" s="140">
        <f t="shared" si="1"/>
        <v>1.83E-2</v>
      </c>
      <c r="Q25" s="140">
        <f t="shared" si="2"/>
        <v>0.91500000000000004</v>
      </c>
      <c r="R25" s="139">
        <v>1.83E-2</v>
      </c>
      <c r="S25" s="140">
        <f t="shared" si="3"/>
        <v>9.1499999999999998E-2</v>
      </c>
      <c r="T25" s="81" t="s">
        <v>374</v>
      </c>
      <c r="U25" s="9"/>
      <c r="V25" s="9"/>
    </row>
    <row r="26" spans="1:22" ht="15.75" thickBot="1" x14ac:dyDescent="0.3">
      <c r="A26" s="122">
        <v>24</v>
      </c>
      <c r="B26" s="202"/>
      <c r="C26" s="10" t="s">
        <v>169</v>
      </c>
      <c r="D26" s="42" t="s">
        <v>170</v>
      </c>
      <c r="E26" s="12" t="s">
        <v>131</v>
      </c>
      <c r="F26" s="18" t="s">
        <v>171</v>
      </c>
      <c r="G26" s="18" t="s">
        <v>172</v>
      </c>
      <c r="H26" s="170" t="s">
        <v>173</v>
      </c>
      <c r="I26" s="18" t="s">
        <v>174</v>
      </c>
      <c r="J26" s="12" t="s">
        <v>175</v>
      </c>
      <c r="K26" s="12">
        <v>100</v>
      </c>
      <c r="L26" s="43">
        <v>1</v>
      </c>
      <c r="M26" s="5">
        <f t="shared" si="0"/>
        <v>5</v>
      </c>
      <c r="N26" s="109" t="s">
        <v>27</v>
      </c>
      <c r="O26" s="137">
        <v>8.9999999999999998E-4</v>
      </c>
      <c r="P26" s="16">
        <f t="shared" si="1"/>
        <v>8.9999999999999998E-4</v>
      </c>
      <c r="Q26" s="16">
        <f t="shared" si="2"/>
        <v>0.09</v>
      </c>
      <c r="R26" s="137">
        <v>8.9999999999999998E-4</v>
      </c>
      <c r="S26" s="16">
        <f t="shared" si="3"/>
        <v>4.4999999999999997E-3</v>
      </c>
      <c r="T26" s="17" t="s">
        <v>351</v>
      </c>
      <c r="U26" s="9"/>
      <c r="V26" s="9"/>
    </row>
    <row r="27" spans="1:22" ht="15.75" thickBot="1" x14ac:dyDescent="0.3">
      <c r="A27" s="122">
        <v>25</v>
      </c>
      <c r="B27" s="202"/>
      <c r="C27" s="10" t="s">
        <v>176</v>
      </c>
      <c r="D27" s="42" t="s">
        <v>177</v>
      </c>
      <c r="E27" s="12" t="s">
        <v>131</v>
      </c>
      <c r="F27" s="18" t="s">
        <v>178</v>
      </c>
      <c r="G27" s="18" t="s">
        <v>172</v>
      </c>
      <c r="H27" s="170" t="s">
        <v>179</v>
      </c>
      <c r="I27" s="18" t="s">
        <v>180</v>
      </c>
      <c r="J27" s="12" t="s">
        <v>181</v>
      </c>
      <c r="K27" s="12">
        <v>100</v>
      </c>
      <c r="L27" s="43">
        <v>1</v>
      </c>
      <c r="M27" s="5">
        <f t="shared" si="0"/>
        <v>5</v>
      </c>
      <c r="N27" s="109" t="s">
        <v>27</v>
      </c>
      <c r="O27" s="137">
        <v>8.0000000000000004E-4</v>
      </c>
      <c r="P27" s="16">
        <f t="shared" si="1"/>
        <v>8.0000000000000004E-4</v>
      </c>
      <c r="Q27" s="16">
        <f t="shared" si="2"/>
        <v>0.08</v>
      </c>
      <c r="R27" s="137">
        <v>8.0000000000000004E-4</v>
      </c>
      <c r="S27" s="16">
        <f t="shared" si="3"/>
        <v>4.0000000000000001E-3</v>
      </c>
      <c r="T27" s="17" t="s">
        <v>351</v>
      </c>
      <c r="U27" s="9"/>
      <c r="V27" s="9"/>
    </row>
    <row r="28" spans="1:22" ht="15.75" thickBot="1" x14ac:dyDescent="0.3">
      <c r="A28" s="122">
        <v>26</v>
      </c>
      <c r="B28" s="202"/>
      <c r="C28" s="10" t="s">
        <v>182</v>
      </c>
      <c r="D28" s="42" t="s">
        <v>183</v>
      </c>
      <c r="E28" s="12" t="s">
        <v>131</v>
      </c>
      <c r="F28" s="18" t="s">
        <v>184</v>
      </c>
      <c r="G28" s="18" t="s">
        <v>172</v>
      </c>
      <c r="H28" s="170" t="s">
        <v>185</v>
      </c>
      <c r="I28" s="18" t="s">
        <v>186</v>
      </c>
      <c r="J28" s="12" t="s">
        <v>187</v>
      </c>
      <c r="K28" s="12">
        <v>100</v>
      </c>
      <c r="L28" s="43">
        <v>4</v>
      </c>
      <c r="M28" s="5">
        <f t="shared" si="0"/>
        <v>20</v>
      </c>
      <c r="N28" s="109" t="s">
        <v>27</v>
      </c>
      <c r="O28" s="137">
        <v>8.0000000000000004E-4</v>
      </c>
      <c r="P28" s="16">
        <f t="shared" si="1"/>
        <v>3.2000000000000002E-3</v>
      </c>
      <c r="Q28" s="16">
        <f t="shared" si="2"/>
        <v>0.08</v>
      </c>
      <c r="R28" s="137">
        <v>8.0000000000000004E-4</v>
      </c>
      <c r="S28" s="16">
        <f t="shared" si="3"/>
        <v>1.6E-2</v>
      </c>
      <c r="T28" s="17" t="s">
        <v>351</v>
      </c>
      <c r="U28" s="9"/>
      <c r="V28" s="9"/>
    </row>
    <row r="29" spans="1:22" ht="15.75" thickBot="1" x14ac:dyDescent="0.3">
      <c r="A29" s="122">
        <v>27</v>
      </c>
      <c r="B29" s="202"/>
      <c r="C29" s="44" t="s">
        <v>188</v>
      </c>
      <c r="D29" s="11" t="s">
        <v>189</v>
      </c>
      <c r="E29" s="12" t="s">
        <v>131</v>
      </c>
      <c r="F29" s="18" t="s">
        <v>190</v>
      </c>
      <c r="G29" s="18" t="s">
        <v>191</v>
      </c>
      <c r="H29" s="170" t="s">
        <v>192</v>
      </c>
      <c r="I29" s="18" t="s">
        <v>193</v>
      </c>
      <c r="J29" s="12" t="s">
        <v>194</v>
      </c>
      <c r="K29" s="12">
        <v>100</v>
      </c>
      <c r="L29" s="43">
        <v>9</v>
      </c>
      <c r="M29" s="5">
        <f t="shared" si="0"/>
        <v>45</v>
      </c>
      <c r="N29" s="109" t="s">
        <v>27</v>
      </c>
      <c r="O29" s="137">
        <v>6.9999999999999999E-4</v>
      </c>
      <c r="P29" s="16">
        <f t="shared" si="1"/>
        <v>6.3E-3</v>
      </c>
      <c r="Q29" s="16">
        <f t="shared" si="2"/>
        <v>6.9999999999999993E-2</v>
      </c>
      <c r="R29" s="137">
        <v>6.9999999999999999E-4</v>
      </c>
      <c r="S29" s="16">
        <f t="shared" si="3"/>
        <v>3.15E-2</v>
      </c>
      <c r="T29" s="17" t="s">
        <v>351</v>
      </c>
      <c r="U29" s="9"/>
      <c r="V29" s="9"/>
    </row>
    <row r="30" spans="1:22" ht="15.75" thickBot="1" x14ac:dyDescent="0.3">
      <c r="A30" s="122">
        <v>28</v>
      </c>
      <c r="B30" s="202"/>
      <c r="C30" s="10" t="s">
        <v>195</v>
      </c>
      <c r="D30" s="42" t="s">
        <v>196</v>
      </c>
      <c r="E30" s="12" t="s">
        <v>131</v>
      </c>
      <c r="F30" s="18" t="s">
        <v>197</v>
      </c>
      <c r="G30" s="18" t="s">
        <v>133</v>
      </c>
      <c r="H30" s="170" t="s">
        <v>353</v>
      </c>
      <c r="I30" s="194" t="s">
        <v>352</v>
      </c>
      <c r="J30" s="12" t="s">
        <v>198</v>
      </c>
      <c r="K30" s="12">
        <v>100</v>
      </c>
      <c r="L30" s="43">
        <v>2</v>
      </c>
      <c r="M30" s="5">
        <f t="shared" si="0"/>
        <v>10</v>
      </c>
      <c r="N30" s="130" t="s">
        <v>27</v>
      </c>
      <c r="O30" s="137">
        <v>3.7000000000000002E-3</v>
      </c>
      <c r="P30" s="16">
        <f t="shared" si="1"/>
        <v>7.4000000000000003E-3</v>
      </c>
      <c r="Q30" s="16">
        <f t="shared" si="2"/>
        <v>0.37</v>
      </c>
      <c r="R30" s="137">
        <v>3.7000000000000002E-3</v>
      </c>
      <c r="S30" s="16">
        <f t="shared" si="3"/>
        <v>3.7000000000000005E-2</v>
      </c>
      <c r="T30" s="17" t="s">
        <v>354</v>
      </c>
      <c r="U30" s="9"/>
      <c r="V30" s="9"/>
    </row>
    <row r="31" spans="1:22" ht="15.75" thickBot="1" x14ac:dyDescent="0.3">
      <c r="A31" s="122">
        <v>29</v>
      </c>
      <c r="B31" s="202"/>
      <c r="C31" s="10" t="s">
        <v>199</v>
      </c>
      <c r="D31" s="18" t="s">
        <v>200</v>
      </c>
      <c r="E31" s="12" t="s">
        <v>131</v>
      </c>
      <c r="F31" s="18" t="s">
        <v>201</v>
      </c>
      <c r="G31" s="18" t="s">
        <v>191</v>
      </c>
      <c r="H31" s="170" t="s">
        <v>202</v>
      </c>
      <c r="I31" s="170" t="s">
        <v>203</v>
      </c>
      <c r="J31" s="12" t="s">
        <v>204</v>
      </c>
      <c r="K31" s="14">
        <v>40</v>
      </c>
      <c r="L31" s="13">
        <v>8</v>
      </c>
      <c r="M31" s="5">
        <f t="shared" si="0"/>
        <v>40</v>
      </c>
      <c r="N31" s="108" t="s">
        <v>27</v>
      </c>
      <c r="O31" s="137">
        <v>4.6699999999999998E-2</v>
      </c>
      <c r="P31" s="16">
        <f t="shared" si="1"/>
        <v>0.37359999999999999</v>
      </c>
      <c r="Q31" s="16">
        <f t="shared" si="2"/>
        <v>1.8679999999999999</v>
      </c>
      <c r="R31" s="137">
        <v>4.6699999999999998E-2</v>
      </c>
      <c r="S31" s="16">
        <f t="shared" si="3"/>
        <v>1.8679999999999999</v>
      </c>
      <c r="T31" s="17"/>
      <c r="U31" s="9"/>
      <c r="V31" s="9"/>
    </row>
    <row r="32" spans="1:22" ht="15.75" thickBot="1" x14ac:dyDescent="0.3">
      <c r="A32" s="122">
        <v>30</v>
      </c>
      <c r="B32" s="202"/>
      <c r="C32" s="10" t="s">
        <v>205</v>
      </c>
      <c r="D32" s="11" t="s">
        <v>206</v>
      </c>
      <c r="E32" s="12" t="s">
        <v>131</v>
      </c>
      <c r="F32" s="18" t="s">
        <v>207</v>
      </c>
      <c r="G32" s="18" t="s">
        <v>172</v>
      </c>
      <c r="H32" s="170" t="s">
        <v>208</v>
      </c>
      <c r="I32" s="171" t="s">
        <v>209</v>
      </c>
      <c r="J32" s="12" t="s">
        <v>210</v>
      </c>
      <c r="K32" s="14">
        <v>10</v>
      </c>
      <c r="L32" s="13">
        <v>2</v>
      </c>
      <c r="M32" s="5">
        <f t="shared" si="0"/>
        <v>10</v>
      </c>
      <c r="N32" s="108" t="s">
        <v>27</v>
      </c>
      <c r="O32" s="137">
        <v>3.04E-2</v>
      </c>
      <c r="P32" s="16">
        <f t="shared" si="1"/>
        <v>6.08E-2</v>
      </c>
      <c r="Q32" s="16">
        <f t="shared" si="2"/>
        <v>0.30399999999999999</v>
      </c>
      <c r="R32" s="137">
        <v>3.04E-2</v>
      </c>
      <c r="S32" s="16">
        <f t="shared" si="3"/>
        <v>0.30399999999999999</v>
      </c>
      <c r="T32" s="17"/>
      <c r="U32" s="9"/>
      <c r="V32" s="9"/>
    </row>
    <row r="33" spans="1:22" ht="15.75" thickBot="1" x14ac:dyDescent="0.3">
      <c r="A33" s="122">
        <v>31</v>
      </c>
      <c r="B33" s="202"/>
      <c r="C33" s="10" t="s">
        <v>211</v>
      </c>
      <c r="D33" s="18" t="s">
        <v>212</v>
      </c>
      <c r="E33" s="12" t="s">
        <v>131</v>
      </c>
      <c r="F33" s="18" t="s">
        <v>213</v>
      </c>
      <c r="G33" s="18" t="s">
        <v>172</v>
      </c>
      <c r="H33" s="170" t="s">
        <v>214</v>
      </c>
      <c r="I33" s="193" t="s">
        <v>215</v>
      </c>
      <c r="J33" s="12" t="s">
        <v>216</v>
      </c>
      <c r="K33" s="14">
        <v>50</v>
      </c>
      <c r="L33" s="13">
        <v>1</v>
      </c>
      <c r="M33" s="5">
        <f t="shared" si="0"/>
        <v>5</v>
      </c>
      <c r="N33" s="108" t="s">
        <v>27</v>
      </c>
      <c r="O33" s="137">
        <v>6.8999999999999999E-3</v>
      </c>
      <c r="P33" s="16">
        <f t="shared" si="1"/>
        <v>6.8999999999999999E-3</v>
      </c>
      <c r="Q33" s="16">
        <f t="shared" si="2"/>
        <v>0.34499999999999997</v>
      </c>
      <c r="R33" s="137">
        <v>6.8999999999999999E-3</v>
      </c>
      <c r="S33" s="16">
        <f t="shared" si="3"/>
        <v>3.4500000000000003E-2</v>
      </c>
      <c r="T33" s="17" t="s">
        <v>354</v>
      </c>
      <c r="U33" s="9"/>
      <c r="V33" s="9"/>
    </row>
    <row r="34" spans="1:22" ht="15.75" thickBot="1" x14ac:dyDescent="0.3">
      <c r="A34" s="122">
        <v>32</v>
      </c>
      <c r="B34" s="202"/>
      <c r="C34" s="45" t="s">
        <v>217</v>
      </c>
      <c r="D34" s="11" t="s">
        <v>218</v>
      </c>
      <c r="E34" s="46" t="s">
        <v>219</v>
      </c>
      <c r="F34" s="11" t="s">
        <v>220</v>
      </c>
      <c r="G34" s="18" t="s">
        <v>191</v>
      </c>
      <c r="H34" s="170" t="s">
        <v>221</v>
      </c>
      <c r="I34" s="18" t="s">
        <v>89</v>
      </c>
      <c r="J34" s="12" t="s">
        <v>222</v>
      </c>
      <c r="K34" s="14">
        <v>100</v>
      </c>
      <c r="L34" s="13">
        <v>1</v>
      </c>
      <c r="M34" s="5">
        <f t="shared" si="0"/>
        <v>5</v>
      </c>
      <c r="N34" s="108" t="s">
        <v>27</v>
      </c>
      <c r="O34" s="137">
        <v>2.5999999999999999E-3</v>
      </c>
      <c r="P34" s="16">
        <f t="shared" si="1"/>
        <v>2.5999999999999999E-3</v>
      </c>
      <c r="Q34" s="16">
        <f t="shared" si="2"/>
        <v>0.26</v>
      </c>
      <c r="R34" s="137">
        <v>2.5999999999999999E-3</v>
      </c>
      <c r="S34" s="16">
        <f t="shared" si="3"/>
        <v>1.2999999999999999E-2</v>
      </c>
      <c r="T34" s="17"/>
      <c r="U34" s="9"/>
      <c r="V34" s="9"/>
    </row>
    <row r="35" spans="1:22" ht="15.75" thickBot="1" x14ac:dyDescent="0.3">
      <c r="A35" s="122">
        <v>33</v>
      </c>
      <c r="B35" s="204"/>
      <c r="C35" s="47" t="s">
        <v>223</v>
      </c>
      <c r="D35" s="48" t="s">
        <v>224</v>
      </c>
      <c r="E35" s="49" t="s">
        <v>131</v>
      </c>
      <c r="F35" s="195" t="s">
        <v>225</v>
      </c>
      <c r="G35" s="196" t="s">
        <v>191</v>
      </c>
      <c r="H35" s="197" t="s">
        <v>226</v>
      </c>
      <c r="I35" s="198" t="s">
        <v>89</v>
      </c>
      <c r="J35" s="50" t="s">
        <v>227</v>
      </c>
      <c r="K35" s="132">
        <v>50</v>
      </c>
      <c r="L35" s="131">
        <v>1</v>
      </c>
      <c r="M35" s="106">
        <f t="shared" si="0"/>
        <v>5</v>
      </c>
      <c r="N35" s="133" t="s">
        <v>27</v>
      </c>
      <c r="O35" s="141">
        <v>1.6000000000000001E-3</v>
      </c>
      <c r="P35" s="29">
        <f t="shared" si="1"/>
        <v>1.6000000000000001E-3</v>
      </c>
      <c r="Q35" s="29">
        <f t="shared" si="2"/>
        <v>0.08</v>
      </c>
      <c r="R35" s="141">
        <v>1.6000000000000001E-3</v>
      </c>
      <c r="S35" s="29">
        <f t="shared" si="3"/>
        <v>8.0000000000000002E-3</v>
      </c>
      <c r="T35" s="134"/>
      <c r="U35" s="9"/>
      <c r="V35" s="9"/>
    </row>
    <row r="36" spans="1:22" ht="15.75" thickBot="1" x14ac:dyDescent="0.3">
      <c r="A36" s="122">
        <v>34</v>
      </c>
      <c r="B36" s="202" t="s">
        <v>228</v>
      </c>
      <c r="C36" s="144" t="s">
        <v>229</v>
      </c>
      <c r="D36" s="145" t="s">
        <v>230</v>
      </c>
      <c r="E36" s="145" t="s">
        <v>231</v>
      </c>
      <c r="F36" s="145" t="s">
        <v>232</v>
      </c>
      <c r="G36" s="145" t="s">
        <v>233</v>
      </c>
      <c r="H36" s="146"/>
      <c r="I36" s="145" t="s">
        <v>89</v>
      </c>
      <c r="J36" s="145" t="s">
        <v>89</v>
      </c>
      <c r="K36" s="147">
        <v>5</v>
      </c>
      <c r="L36" s="146">
        <v>1</v>
      </c>
      <c r="M36" s="147">
        <f t="shared" si="0"/>
        <v>5</v>
      </c>
      <c r="N36" s="148" t="s">
        <v>361</v>
      </c>
      <c r="O36" s="156">
        <v>3.71</v>
      </c>
      <c r="P36" s="103">
        <f>O36*L36</f>
        <v>3.71</v>
      </c>
      <c r="Q36" s="149">
        <f t="shared" si="2"/>
        <v>18.55</v>
      </c>
      <c r="R36" s="156">
        <v>3.71</v>
      </c>
      <c r="S36" s="149">
        <f t="shared" si="3"/>
        <v>18.55</v>
      </c>
      <c r="T36" s="150" t="s">
        <v>362</v>
      </c>
      <c r="U36" s="9"/>
      <c r="V36" s="9"/>
    </row>
    <row r="37" spans="1:22" ht="15.75" thickBot="1" x14ac:dyDescent="0.3">
      <c r="A37" s="122">
        <v>35</v>
      </c>
      <c r="B37" s="202"/>
      <c r="C37" s="10" t="s">
        <v>234</v>
      </c>
      <c r="D37" s="12" t="s">
        <v>235</v>
      </c>
      <c r="E37" s="12" t="s">
        <v>236</v>
      </c>
      <c r="F37" s="12" t="s">
        <v>237</v>
      </c>
      <c r="G37" s="12" t="s">
        <v>238</v>
      </c>
      <c r="H37" s="51" t="s">
        <v>239</v>
      </c>
      <c r="I37" s="12" t="s">
        <v>89</v>
      </c>
      <c r="J37" s="12" t="s">
        <v>89</v>
      </c>
      <c r="K37" s="52">
        <v>5</v>
      </c>
      <c r="L37" s="13">
        <v>1</v>
      </c>
      <c r="M37" s="5">
        <f t="shared" si="0"/>
        <v>5</v>
      </c>
      <c r="N37" s="109" t="s">
        <v>27</v>
      </c>
      <c r="O37" s="137">
        <v>2.2288999999999999</v>
      </c>
      <c r="P37" s="157">
        <f t="shared" si="1"/>
        <v>2.2288999999999999</v>
      </c>
      <c r="Q37" s="16">
        <f t="shared" si="2"/>
        <v>11.144499999999999</v>
      </c>
      <c r="R37" s="137">
        <v>2.2288999999999999</v>
      </c>
      <c r="S37" s="16">
        <f t="shared" si="3"/>
        <v>11.144499999999999</v>
      </c>
      <c r="T37" s="17"/>
      <c r="U37" s="9"/>
      <c r="V37" s="9"/>
    </row>
    <row r="38" spans="1:22" ht="15.75" thickBot="1" x14ac:dyDescent="0.3">
      <c r="A38" s="122">
        <v>36</v>
      </c>
      <c r="B38" s="202"/>
      <c r="C38" s="10" t="s">
        <v>240</v>
      </c>
      <c r="D38" s="12" t="s">
        <v>241</v>
      </c>
      <c r="E38" s="12" t="s">
        <v>242</v>
      </c>
      <c r="F38" s="12" t="s">
        <v>243</v>
      </c>
      <c r="G38" s="12" t="s">
        <v>126</v>
      </c>
      <c r="H38" s="51" t="s">
        <v>244</v>
      </c>
      <c r="I38" s="12" t="s">
        <v>89</v>
      </c>
      <c r="J38" s="12" t="s">
        <v>89</v>
      </c>
      <c r="K38" s="52">
        <v>5</v>
      </c>
      <c r="L38" s="13">
        <v>1</v>
      </c>
      <c r="M38" s="5">
        <f t="shared" si="0"/>
        <v>5</v>
      </c>
      <c r="N38" s="109" t="s">
        <v>27</v>
      </c>
      <c r="O38" s="137">
        <v>0.16400000000000001</v>
      </c>
      <c r="P38" s="16">
        <f t="shared" si="1"/>
        <v>0.16400000000000001</v>
      </c>
      <c r="Q38" s="16">
        <f t="shared" si="2"/>
        <v>0.82000000000000006</v>
      </c>
      <c r="R38" s="137">
        <v>0.16400000000000001</v>
      </c>
      <c r="S38" s="16">
        <f t="shared" si="3"/>
        <v>0.82000000000000006</v>
      </c>
      <c r="T38" s="17" t="s">
        <v>356</v>
      </c>
      <c r="U38" s="9"/>
      <c r="V38" s="9"/>
    </row>
    <row r="39" spans="1:22" ht="15.75" thickBot="1" x14ac:dyDescent="0.3">
      <c r="A39" s="122">
        <v>37</v>
      </c>
      <c r="B39" s="202"/>
      <c r="C39" s="100" t="s">
        <v>245</v>
      </c>
      <c r="D39" s="91" t="s">
        <v>246</v>
      </c>
      <c r="E39" s="91" t="s">
        <v>247</v>
      </c>
      <c r="F39" s="91" t="s">
        <v>248</v>
      </c>
      <c r="G39" s="91" t="s">
        <v>249</v>
      </c>
      <c r="H39" s="92" t="s">
        <v>250</v>
      </c>
      <c r="I39" s="91" t="s">
        <v>89</v>
      </c>
      <c r="J39" s="91" t="s">
        <v>89</v>
      </c>
      <c r="K39" s="101">
        <v>5</v>
      </c>
      <c r="L39" s="92">
        <v>1</v>
      </c>
      <c r="M39" s="102">
        <f t="shared" si="0"/>
        <v>5</v>
      </c>
      <c r="N39" s="110" t="s">
        <v>255</v>
      </c>
      <c r="O39" s="139">
        <v>4.3600000000000003</v>
      </c>
      <c r="P39" s="140">
        <f t="shared" si="1"/>
        <v>4.3600000000000003</v>
      </c>
      <c r="Q39" s="140">
        <f t="shared" si="2"/>
        <v>21.8</v>
      </c>
      <c r="R39" s="139">
        <v>4.3600000000000003</v>
      </c>
      <c r="S39" s="140">
        <f t="shared" si="3"/>
        <v>21.8</v>
      </c>
      <c r="T39" s="21" t="s">
        <v>115</v>
      </c>
      <c r="U39" s="9"/>
      <c r="V39" s="9"/>
    </row>
    <row r="40" spans="1:22" ht="15.75" thickBot="1" x14ac:dyDescent="0.3">
      <c r="A40" s="122">
        <v>38</v>
      </c>
      <c r="B40" s="202"/>
      <c r="C40" s="93" t="s">
        <v>251</v>
      </c>
      <c r="D40" s="94" t="s">
        <v>252</v>
      </c>
      <c r="E40" s="94" t="s">
        <v>253</v>
      </c>
      <c r="F40" s="94" t="s">
        <v>254</v>
      </c>
      <c r="G40" s="94" t="s">
        <v>233</v>
      </c>
      <c r="H40" s="158" t="s">
        <v>355</v>
      </c>
      <c r="I40" s="42" t="s">
        <v>89</v>
      </c>
      <c r="J40" s="42" t="s">
        <v>127</v>
      </c>
      <c r="K40" s="52">
        <v>5</v>
      </c>
      <c r="L40" s="13">
        <v>1</v>
      </c>
      <c r="M40" s="5">
        <f t="shared" si="0"/>
        <v>5</v>
      </c>
      <c r="N40" s="109" t="s">
        <v>27</v>
      </c>
      <c r="O40" s="137">
        <v>5.3250999999999999</v>
      </c>
      <c r="P40" s="16">
        <f t="shared" si="1"/>
        <v>5.3250999999999999</v>
      </c>
      <c r="Q40" s="16">
        <f t="shared" si="2"/>
        <v>26.625499999999999</v>
      </c>
      <c r="R40" s="137">
        <v>5.3250999999999999</v>
      </c>
      <c r="S40" s="16">
        <f t="shared" si="3"/>
        <v>26.625499999999999</v>
      </c>
      <c r="T40" s="54"/>
      <c r="U40" s="9"/>
      <c r="V40" s="9"/>
    </row>
    <row r="41" spans="1:22" ht="15.75" thickBot="1" x14ac:dyDescent="0.3">
      <c r="A41" s="122">
        <v>39</v>
      </c>
      <c r="B41" s="202"/>
      <c r="C41" s="53" t="s">
        <v>256</v>
      </c>
      <c r="D41" s="11" t="s">
        <v>257</v>
      </c>
      <c r="E41" s="11" t="s">
        <v>258</v>
      </c>
      <c r="F41" s="11" t="s">
        <v>259</v>
      </c>
      <c r="G41" s="12" t="s">
        <v>126</v>
      </c>
      <c r="H41" s="51" t="s">
        <v>260</v>
      </c>
      <c r="I41" s="12" t="s">
        <v>89</v>
      </c>
      <c r="J41" s="12" t="s">
        <v>89</v>
      </c>
      <c r="K41" s="52">
        <v>5</v>
      </c>
      <c r="L41" s="13">
        <v>1</v>
      </c>
      <c r="M41" s="5">
        <f t="shared" si="0"/>
        <v>5</v>
      </c>
      <c r="N41" s="109" t="s">
        <v>27</v>
      </c>
      <c r="O41" s="137">
        <v>0.50139999999999996</v>
      </c>
      <c r="P41" s="16">
        <f t="shared" si="1"/>
        <v>0.50139999999999996</v>
      </c>
      <c r="Q41" s="16">
        <f t="shared" si="2"/>
        <v>2.5069999999999997</v>
      </c>
      <c r="R41" s="137">
        <v>0.50139999999999996</v>
      </c>
      <c r="S41" s="16">
        <f t="shared" si="3"/>
        <v>2.5069999999999997</v>
      </c>
      <c r="T41" s="55"/>
      <c r="U41" s="9"/>
      <c r="V41" s="9"/>
    </row>
    <row r="42" spans="1:22" ht="15.75" thickBot="1" x14ac:dyDescent="0.3">
      <c r="A42" s="122">
        <v>40</v>
      </c>
      <c r="B42" s="202"/>
      <c r="C42" s="10" t="s">
        <v>261</v>
      </c>
      <c r="D42" s="12" t="s">
        <v>262</v>
      </c>
      <c r="E42" s="12" t="s">
        <v>263</v>
      </c>
      <c r="F42" s="12" t="s">
        <v>264</v>
      </c>
      <c r="G42" s="12" t="s">
        <v>265</v>
      </c>
      <c r="H42" s="51" t="s">
        <v>266</v>
      </c>
      <c r="I42" s="12" t="s">
        <v>89</v>
      </c>
      <c r="J42" s="12" t="s">
        <v>89</v>
      </c>
      <c r="K42" s="52">
        <v>5</v>
      </c>
      <c r="L42" s="13">
        <v>1</v>
      </c>
      <c r="M42" s="5">
        <f t="shared" si="0"/>
        <v>5</v>
      </c>
      <c r="N42" s="109" t="s">
        <v>27</v>
      </c>
      <c r="O42" s="137">
        <v>0.84399999999999997</v>
      </c>
      <c r="P42" s="16">
        <f t="shared" si="1"/>
        <v>0.84399999999999997</v>
      </c>
      <c r="Q42" s="16">
        <f t="shared" si="2"/>
        <v>4.22</v>
      </c>
      <c r="R42" s="137">
        <v>0.84399999999999997</v>
      </c>
      <c r="S42" s="16">
        <f t="shared" si="3"/>
        <v>4.22</v>
      </c>
      <c r="T42" s="17" t="s">
        <v>356</v>
      </c>
      <c r="U42" s="9"/>
      <c r="V42" s="9"/>
    </row>
    <row r="43" spans="1:22" ht="15.75" thickBot="1" x14ac:dyDescent="0.3">
      <c r="A43" s="122">
        <v>41</v>
      </c>
      <c r="B43" s="203" t="s">
        <v>267</v>
      </c>
      <c r="C43" s="36" t="s">
        <v>268</v>
      </c>
      <c r="D43" s="32" t="s">
        <v>269</v>
      </c>
      <c r="E43" s="2" t="s">
        <v>66</v>
      </c>
      <c r="F43" s="32" t="s">
        <v>270</v>
      </c>
      <c r="G43" s="37" t="s">
        <v>271</v>
      </c>
      <c r="H43" s="56" t="s">
        <v>272</v>
      </c>
      <c r="I43" s="57" t="s">
        <v>273</v>
      </c>
      <c r="J43" s="57" t="s">
        <v>127</v>
      </c>
      <c r="K43" s="58">
        <v>50</v>
      </c>
      <c r="L43" s="59">
        <v>2</v>
      </c>
      <c r="M43" s="5">
        <f t="shared" si="0"/>
        <v>10</v>
      </c>
      <c r="N43" s="113" t="s">
        <v>27</v>
      </c>
      <c r="O43" s="136">
        <v>1.0500000000000001E-2</v>
      </c>
      <c r="P43" s="7">
        <f t="shared" si="1"/>
        <v>2.1000000000000001E-2</v>
      </c>
      <c r="Q43" s="7">
        <f t="shared" si="2"/>
        <v>0.52500000000000002</v>
      </c>
      <c r="R43" s="136">
        <v>1.0500000000000001E-2</v>
      </c>
      <c r="S43" s="7">
        <f t="shared" si="3"/>
        <v>0.10500000000000001</v>
      </c>
      <c r="T43" s="60" t="s">
        <v>357</v>
      </c>
      <c r="U43" s="9"/>
      <c r="V43" s="9"/>
    </row>
    <row r="44" spans="1:22" ht="15.75" thickBot="1" x14ac:dyDescent="0.3">
      <c r="A44" s="122">
        <v>42</v>
      </c>
      <c r="B44" s="202"/>
      <c r="C44" s="53" t="s">
        <v>274</v>
      </c>
      <c r="D44" s="11" t="s">
        <v>275</v>
      </c>
      <c r="E44" s="18" t="s">
        <v>66</v>
      </c>
      <c r="F44" s="11" t="s">
        <v>276</v>
      </c>
      <c r="G44" s="46" t="s">
        <v>271</v>
      </c>
      <c r="H44" s="51" t="s">
        <v>277</v>
      </c>
      <c r="I44" s="12" t="s">
        <v>278</v>
      </c>
      <c r="J44" s="12" t="s">
        <v>127</v>
      </c>
      <c r="K44" s="52">
        <v>50</v>
      </c>
      <c r="L44" s="13">
        <v>1</v>
      </c>
      <c r="M44" s="5">
        <f t="shared" si="0"/>
        <v>5</v>
      </c>
      <c r="N44" s="109" t="s">
        <v>27</v>
      </c>
      <c r="O44" s="137">
        <v>8.3000000000000001E-3</v>
      </c>
      <c r="P44" s="16">
        <f t="shared" si="1"/>
        <v>8.3000000000000001E-3</v>
      </c>
      <c r="Q44" s="16">
        <f t="shared" si="2"/>
        <v>0.41499999999999998</v>
      </c>
      <c r="R44" s="137">
        <v>8.3000000000000001E-3</v>
      </c>
      <c r="S44" s="16">
        <f t="shared" si="3"/>
        <v>4.1500000000000002E-2</v>
      </c>
      <c r="T44" s="17" t="s">
        <v>357</v>
      </c>
      <c r="U44" s="9"/>
      <c r="V44" s="9"/>
    </row>
    <row r="45" spans="1:22" ht="15.75" thickBot="1" x14ac:dyDescent="0.3">
      <c r="A45" s="122">
        <v>43</v>
      </c>
      <c r="B45" s="202"/>
      <c r="C45" s="61" t="s">
        <v>279</v>
      </c>
      <c r="D45" s="62" t="s">
        <v>280</v>
      </c>
      <c r="E45" s="62" t="s">
        <v>66</v>
      </c>
      <c r="F45" s="62" t="s">
        <v>281</v>
      </c>
      <c r="G45" s="62" t="s">
        <v>282</v>
      </c>
      <c r="H45" s="63" t="s">
        <v>283</v>
      </c>
      <c r="I45" s="62" t="s">
        <v>89</v>
      </c>
      <c r="J45" s="62" t="s">
        <v>89</v>
      </c>
      <c r="K45" s="64">
        <v>5</v>
      </c>
      <c r="L45" s="65">
        <v>1</v>
      </c>
      <c r="M45" s="5">
        <f t="shared" si="0"/>
        <v>5</v>
      </c>
      <c r="N45" s="114" t="s">
        <v>27</v>
      </c>
      <c r="O45" s="137">
        <v>0.99550000000000005</v>
      </c>
      <c r="P45" s="16">
        <f t="shared" si="1"/>
        <v>0.99550000000000005</v>
      </c>
      <c r="Q45" s="16">
        <f t="shared" si="2"/>
        <v>4.9775</v>
      </c>
      <c r="R45" s="137">
        <v>0.99550000000000005</v>
      </c>
      <c r="S45" s="16">
        <f t="shared" si="3"/>
        <v>4.9775</v>
      </c>
      <c r="T45" s="66"/>
      <c r="U45" s="9"/>
      <c r="V45" s="9"/>
    </row>
    <row r="46" spans="1:22" ht="15.75" thickBot="1" x14ac:dyDescent="0.3">
      <c r="A46" s="122">
        <v>44</v>
      </c>
      <c r="B46" s="202"/>
      <c r="C46" s="10" t="s">
        <v>284</v>
      </c>
      <c r="D46" s="12" t="s">
        <v>285</v>
      </c>
      <c r="E46" s="12" t="s">
        <v>66</v>
      </c>
      <c r="F46" s="12" t="s">
        <v>286</v>
      </c>
      <c r="G46" s="12" t="s">
        <v>287</v>
      </c>
      <c r="H46" s="13" t="s">
        <v>288</v>
      </c>
      <c r="I46" s="12" t="s">
        <v>89</v>
      </c>
      <c r="J46" s="12" t="s">
        <v>89</v>
      </c>
      <c r="K46" s="14">
        <v>10</v>
      </c>
      <c r="L46" s="13">
        <v>2</v>
      </c>
      <c r="M46" s="5">
        <f t="shared" si="0"/>
        <v>10</v>
      </c>
      <c r="N46" s="108" t="s">
        <v>27</v>
      </c>
      <c r="O46" s="137">
        <v>0.30409999999999998</v>
      </c>
      <c r="P46" s="16">
        <f t="shared" si="1"/>
        <v>0.60819999999999996</v>
      </c>
      <c r="Q46" s="16">
        <f t="shared" si="2"/>
        <v>3.0409999999999999</v>
      </c>
      <c r="R46" s="138">
        <v>0.22570000000000001</v>
      </c>
      <c r="S46" s="16">
        <f t="shared" si="3"/>
        <v>2.2570000000000001</v>
      </c>
      <c r="T46" s="17"/>
      <c r="U46" s="9"/>
      <c r="V46" s="9"/>
    </row>
    <row r="47" spans="1:22" ht="15.75" thickBot="1" x14ac:dyDescent="0.3">
      <c r="A47" s="122">
        <v>45</v>
      </c>
      <c r="B47" s="202"/>
      <c r="C47" s="10" t="s">
        <v>289</v>
      </c>
      <c r="D47" s="12" t="s">
        <v>290</v>
      </c>
      <c r="E47" s="12" t="s">
        <v>66</v>
      </c>
      <c r="F47" s="12" t="s">
        <v>291</v>
      </c>
      <c r="G47" s="12" t="s">
        <v>292</v>
      </c>
      <c r="H47" s="35" t="s">
        <v>293</v>
      </c>
      <c r="I47" s="12" t="s">
        <v>89</v>
      </c>
      <c r="J47" s="12" t="s">
        <v>294</v>
      </c>
      <c r="K47" s="14">
        <v>5</v>
      </c>
      <c r="L47" s="13">
        <v>1</v>
      </c>
      <c r="M47" s="5">
        <f t="shared" si="0"/>
        <v>5</v>
      </c>
      <c r="N47" s="108" t="s">
        <v>27</v>
      </c>
      <c r="O47" s="137">
        <v>3.2496</v>
      </c>
      <c r="P47" s="16">
        <f t="shared" si="1"/>
        <v>3.2496</v>
      </c>
      <c r="Q47" s="16">
        <f t="shared" si="2"/>
        <v>16.248000000000001</v>
      </c>
      <c r="R47" s="137">
        <v>3.2496</v>
      </c>
      <c r="S47" s="16">
        <f t="shared" si="3"/>
        <v>16.248000000000001</v>
      </c>
      <c r="T47" s="55"/>
      <c r="U47" s="9"/>
      <c r="V47" s="9"/>
    </row>
    <row r="48" spans="1:22" ht="15.75" thickBot="1" x14ac:dyDescent="0.3">
      <c r="A48" s="122">
        <v>46</v>
      </c>
      <c r="B48" s="202"/>
      <c r="C48" s="10" t="s">
        <v>295</v>
      </c>
      <c r="D48" s="12" t="s">
        <v>296</v>
      </c>
      <c r="E48" s="12" t="s">
        <v>66</v>
      </c>
      <c r="F48" s="12" t="s">
        <v>297</v>
      </c>
      <c r="G48" s="12" t="s">
        <v>298</v>
      </c>
      <c r="H48" s="12" t="s">
        <v>294</v>
      </c>
      <c r="I48" s="12" t="s">
        <v>294</v>
      </c>
      <c r="J48" s="12" t="s">
        <v>294</v>
      </c>
      <c r="K48" s="12">
        <v>5</v>
      </c>
      <c r="L48" s="13">
        <v>1</v>
      </c>
      <c r="M48" s="5">
        <f t="shared" si="0"/>
        <v>5</v>
      </c>
      <c r="N48" s="108" t="s">
        <v>255</v>
      </c>
      <c r="O48" s="142">
        <v>1.36</v>
      </c>
      <c r="P48" s="143">
        <f t="shared" si="1"/>
        <v>1.36</v>
      </c>
      <c r="Q48" s="143">
        <f t="shared" si="2"/>
        <v>6.8000000000000007</v>
      </c>
      <c r="R48" s="142">
        <v>1.36</v>
      </c>
      <c r="S48" s="16">
        <f t="shared" si="3"/>
        <v>6.8000000000000007</v>
      </c>
      <c r="T48" s="17" t="s">
        <v>359</v>
      </c>
      <c r="U48" s="9"/>
      <c r="V48" s="9"/>
    </row>
    <row r="49" spans="1:22" ht="15.75" thickBot="1" x14ac:dyDescent="0.3">
      <c r="A49" s="122">
        <v>47</v>
      </c>
      <c r="B49" s="202"/>
      <c r="C49" s="10" t="s">
        <v>299</v>
      </c>
      <c r="D49" s="12" t="s">
        <v>300</v>
      </c>
      <c r="E49" s="12" t="s">
        <v>66</v>
      </c>
      <c r="F49" s="12" t="s">
        <v>301</v>
      </c>
      <c r="G49" s="12" t="s">
        <v>302</v>
      </c>
      <c r="H49" s="13" t="s">
        <v>303</v>
      </c>
      <c r="I49" s="19" t="s">
        <v>109</v>
      </c>
      <c r="J49" s="12" t="s">
        <v>294</v>
      </c>
      <c r="K49" s="14">
        <v>5</v>
      </c>
      <c r="L49" s="13">
        <v>1</v>
      </c>
      <c r="M49" s="5">
        <f t="shared" si="0"/>
        <v>5</v>
      </c>
      <c r="N49" s="108" t="s">
        <v>27</v>
      </c>
      <c r="O49" s="142">
        <v>0.39140000000000003</v>
      </c>
      <c r="P49" s="143">
        <f t="shared" si="1"/>
        <v>0.39140000000000003</v>
      </c>
      <c r="Q49" s="143">
        <f t="shared" si="2"/>
        <v>1.9570000000000001</v>
      </c>
      <c r="R49" s="142">
        <v>0.39140000000000003</v>
      </c>
      <c r="S49" s="16">
        <f t="shared" si="3"/>
        <v>1.9570000000000001</v>
      </c>
      <c r="T49" s="17"/>
      <c r="U49" s="9"/>
      <c r="V49" s="9"/>
    </row>
    <row r="50" spans="1:22" ht="15.75" thickBot="1" x14ac:dyDescent="0.3">
      <c r="A50" s="122">
        <v>48</v>
      </c>
      <c r="B50" s="202"/>
      <c r="C50" s="10" t="s">
        <v>304</v>
      </c>
      <c r="D50" s="12" t="s">
        <v>305</v>
      </c>
      <c r="E50" s="12" t="s">
        <v>66</v>
      </c>
      <c r="F50" s="12" t="s">
        <v>306</v>
      </c>
      <c r="G50" s="12" t="s">
        <v>271</v>
      </c>
      <c r="H50" s="35" t="s">
        <v>307</v>
      </c>
      <c r="I50" s="35" t="s">
        <v>308</v>
      </c>
      <c r="J50" s="12"/>
      <c r="K50" s="14">
        <v>10</v>
      </c>
      <c r="L50" s="13">
        <v>1</v>
      </c>
      <c r="M50" s="5">
        <f t="shared" si="0"/>
        <v>5</v>
      </c>
      <c r="N50" s="108" t="s">
        <v>27</v>
      </c>
      <c r="O50" s="137">
        <v>5.4100000000000002E-2</v>
      </c>
      <c r="P50" s="16">
        <f t="shared" si="1"/>
        <v>5.4100000000000002E-2</v>
      </c>
      <c r="Q50" s="16">
        <f t="shared" si="2"/>
        <v>0.54100000000000004</v>
      </c>
      <c r="R50" s="137">
        <v>5.4100000000000002E-2</v>
      </c>
      <c r="S50" s="16">
        <f t="shared" si="3"/>
        <v>0.27050000000000002</v>
      </c>
      <c r="T50" s="17"/>
      <c r="U50" s="9"/>
      <c r="V50" s="9"/>
    </row>
    <row r="51" spans="1:22" ht="15.75" thickBot="1" x14ac:dyDescent="0.3">
      <c r="A51" s="122">
        <v>49</v>
      </c>
      <c r="B51" s="202"/>
      <c r="C51" s="10" t="s">
        <v>309</v>
      </c>
      <c r="D51" s="11" t="s">
        <v>310</v>
      </c>
      <c r="E51" s="12" t="s">
        <v>66</v>
      </c>
      <c r="F51" s="13" t="s">
        <v>312</v>
      </c>
      <c r="G51" s="163" t="s">
        <v>358</v>
      </c>
      <c r="H51" s="13" t="s">
        <v>311</v>
      </c>
      <c r="I51" s="13"/>
      <c r="J51" s="12"/>
      <c r="K51" s="14">
        <v>10</v>
      </c>
      <c r="L51" s="13">
        <v>2</v>
      </c>
      <c r="M51" s="5">
        <f t="shared" si="0"/>
        <v>10</v>
      </c>
      <c r="N51" s="108" t="s">
        <v>27</v>
      </c>
      <c r="O51" s="137">
        <v>0.16200000000000001</v>
      </c>
      <c r="P51" s="16">
        <f t="shared" si="1"/>
        <v>0.32400000000000001</v>
      </c>
      <c r="Q51" s="16">
        <f t="shared" si="2"/>
        <v>1.62</v>
      </c>
      <c r="R51" s="138">
        <v>0.1192</v>
      </c>
      <c r="S51" s="16">
        <f t="shared" si="3"/>
        <v>1.1919999999999999</v>
      </c>
      <c r="T51" s="55"/>
      <c r="U51" s="9"/>
      <c r="V51" s="9"/>
    </row>
    <row r="52" spans="1:22" ht="15.75" thickBot="1" x14ac:dyDescent="0.3">
      <c r="A52" s="122">
        <v>50</v>
      </c>
      <c r="B52" s="202"/>
      <c r="C52" s="164" t="s">
        <v>368</v>
      </c>
      <c r="D52" s="12" t="s">
        <v>313</v>
      </c>
      <c r="E52" s="12" t="s">
        <v>66</v>
      </c>
      <c r="F52" s="12" t="s">
        <v>366</v>
      </c>
      <c r="G52" s="12" t="s">
        <v>367</v>
      </c>
      <c r="H52" s="162" t="s">
        <v>369</v>
      </c>
      <c r="I52" s="12" t="s">
        <v>294</v>
      </c>
      <c r="J52" s="12" t="s">
        <v>127</v>
      </c>
      <c r="K52" s="52">
        <v>5</v>
      </c>
      <c r="L52" s="13">
        <v>1</v>
      </c>
      <c r="M52" s="5">
        <f t="shared" si="0"/>
        <v>5</v>
      </c>
      <c r="N52" s="159" t="s">
        <v>27</v>
      </c>
      <c r="O52" s="160">
        <v>1.8448</v>
      </c>
      <c r="P52" s="16">
        <f t="shared" si="1"/>
        <v>1.8448</v>
      </c>
      <c r="Q52" s="161">
        <v>1.8448</v>
      </c>
      <c r="R52" s="161">
        <v>1.8448</v>
      </c>
      <c r="S52" s="16">
        <f t="shared" si="3"/>
        <v>9.2240000000000002</v>
      </c>
      <c r="T52" s="17"/>
      <c r="U52" s="9"/>
      <c r="V52" s="9"/>
    </row>
    <row r="53" spans="1:22" ht="15.75" thickBot="1" x14ac:dyDescent="0.3">
      <c r="A53" s="122">
        <v>51</v>
      </c>
      <c r="B53" s="202"/>
      <c r="C53" s="10" t="s">
        <v>314</v>
      </c>
      <c r="D53" s="12" t="s">
        <v>315</v>
      </c>
      <c r="E53" s="12" t="s">
        <v>66</v>
      </c>
      <c r="F53" s="12" t="s">
        <v>316</v>
      </c>
      <c r="G53" s="12" t="s">
        <v>317</v>
      </c>
      <c r="H53" s="51" t="s">
        <v>318</v>
      </c>
      <c r="I53" s="12" t="s">
        <v>294</v>
      </c>
      <c r="J53" s="12" t="s">
        <v>127</v>
      </c>
      <c r="K53" s="52">
        <v>10</v>
      </c>
      <c r="L53" s="13">
        <v>1</v>
      </c>
      <c r="M53" s="5">
        <f t="shared" si="0"/>
        <v>5</v>
      </c>
      <c r="N53" s="115" t="s">
        <v>27</v>
      </c>
      <c r="O53" s="138">
        <v>4.5900000000000003E-2</v>
      </c>
      <c r="P53" s="16">
        <f t="shared" si="1"/>
        <v>4.5900000000000003E-2</v>
      </c>
      <c r="Q53" s="16">
        <f t="shared" si="2"/>
        <v>0.45900000000000002</v>
      </c>
      <c r="R53" s="138">
        <v>4.5900000000000003E-2</v>
      </c>
      <c r="S53" s="16">
        <f t="shared" si="3"/>
        <v>0.22950000000000001</v>
      </c>
      <c r="T53" s="17"/>
      <c r="U53" s="9"/>
      <c r="V53" s="9"/>
    </row>
    <row r="54" spans="1:22" ht="39" thickBot="1" x14ac:dyDescent="0.3">
      <c r="A54" s="122">
        <v>52</v>
      </c>
      <c r="B54" s="202"/>
      <c r="C54" s="67" t="s">
        <v>319</v>
      </c>
      <c r="D54" s="68" t="s">
        <v>320</v>
      </c>
      <c r="E54" s="68" t="s">
        <v>66</v>
      </c>
      <c r="F54" s="69" t="s">
        <v>321</v>
      </c>
      <c r="G54" s="70" t="s">
        <v>322</v>
      </c>
      <c r="H54" s="70" t="s">
        <v>322</v>
      </c>
      <c r="I54" s="70" t="s">
        <v>322</v>
      </c>
      <c r="J54" s="70" t="s">
        <v>127</v>
      </c>
      <c r="K54" s="70" t="s">
        <v>89</v>
      </c>
      <c r="L54" s="71">
        <v>32</v>
      </c>
      <c r="M54" s="71">
        <v>160</v>
      </c>
      <c r="N54" s="116" t="s">
        <v>322</v>
      </c>
      <c r="O54" s="72" t="s">
        <v>322</v>
      </c>
      <c r="P54" s="72" t="s">
        <v>322</v>
      </c>
      <c r="Q54" s="72" t="s">
        <v>322</v>
      </c>
      <c r="R54" s="72" t="s">
        <v>322</v>
      </c>
      <c r="S54" s="72" t="s">
        <v>322</v>
      </c>
      <c r="T54" s="73" t="s">
        <v>323</v>
      </c>
      <c r="U54" s="9"/>
      <c r="V54" s="9"/>
    </row>
    <row r="55" spans="1:22" ht="15.75" thickBot="1" x14ac:dyDescent="0.3">
      <c r="A55" s="122">
        <v>53</v>
      </c>
      <c r="B55" s="204"/>
      <c r="C55" s="74" t="s">
        <v>324</v>
      </c>
      <c r="D55" s="75" t="s">
        <v>325</v>
      </c>
      <c r="E55" s="75" t="s">
        <v>66</v>
      </c>
      <c r="F55" s="76" t="s">
        <v>326</v>
      </c>
      <c r="G55" s="77" t="s">
        <v>322</v>
      </c>
      <c r="H55" s="78" t="s">
        <v>322</v>
      </c>
      <c r="I55" s="78" t="s">
        <v>322</v>
      </c>
      <c r="J55" s="78" t="s">
        <v>127</v>
      </c>
      <c r="K55" s="78" t="s">
        <v>89</v>
      </c>
      <c r="L55" s="79">
        <v>1</v>
      </c>
      <c r="M55" s="79">
        <v>5</v>
      </c>
      <c r="N55" s="117" t="s">
        <v>322</v>
      </c>
      <c r="O55" s="135" t="s">
        <v>322</v>
      </c>
      <c r="P55" s="135" t="s">
        <v>322</v>
      </c>
      <c r="Q55" s="135" t="s">
        <v>322</v>
      </c>
      <c r="R55" s="135" t="s">
        <v>322</v>
      </c>
      <c r="S55" s="135" t="s">
        <v>322</v>
      </c>
      <c r="T55" s="80" t="s">
        <v>323</v>
      </c>
      <c r="U55" s="9"/>
      <c r="V55" s="9"/>
    </row>
    <row r="56" spans="1:22" ht="15.75" thickBot="1" x14ac:dyDescent="0.3">
      <c r="A56" s="122">
        <v>54</v>
      </c>
      <c r="B56" s="205" t="s">
        <v>327</v>
      </c>
      <c r="C56" s="1" t="s">
        <v>328</v>
      </c>
      <c r="D56" s="33" t="s">
        <v>209</v>
      </c>
      <c r="E56" s="3" t="s">
        <v>66</v>
      </c>
      <c r="F56" s="3" t="s">
        <v>329</v>
      </c>
      <c r="G56" s="3" t="s">
        <v>330</v>
      </c>
      <c r="H56" s="33" t="s">
        <v>209</v>
      </c>
      <c r="I56" s="3" t="s">
        <v>89</v>
      </c>
      <c r="J56" s="3" t="s">
        <v>89</v>
      </c>
      <c r="K56" s="3" t="s">
        <v>89</v>
      </c>
      <c r="L56" s="4">
        <v>1</v>
      </c>
      <c r="M56" s="5">
        <f t="shared" si="0"/>
        <v>5</v>
      </c>
      <c r="N56" s="118" t="s">
        <v>255</v>
      </c>
      <c r="O56" s="7">
        <v>12.42</v>
      </c>
      <c r="P56" s="7">
        <f t="shared" si="1"/>
        <v>12.42</v>
      </c>
      <c r="Q56" s="7"/>
      <c r="R56" s="7">
        <v>12.42</v>
      </c>
      <c r="S56" s="7">
        <f t="shared" si="3"/>
        <v>62.1</v>
      </c>
      <c r="T56" s="8" t="s">
        <v>365</v>
      </c>
      <c r="U56" s="9"/>
      <c r="V56" s="9"/>
    </row>
    <row r="57" spans="1:22" ht="15.75" thickBot="1" x14ac:dyDescent="0.3">
      <c r="A57" s="122">
        <v>55</v>
      </c>
      <c r="B57" s="206"/>
      <c r="C57" s="10" t="s">
        <v>331</v>
      </c>
      <c r="D57" s="19" t="s">
        <v>209</v>
      </c>
      <c r="E57" s="12" t="s">
        <v>66</v>
      </c>
      <c r="F57" s="12" t="s">
        <v>332</v>
      </c>
      <c r="G57" s="19" t="s">
        <v>209</v>
      </c>
      <c r="H57" s="19" t="s">
        <v>209</v>
      </c>
      <c r="I57" s="12" t="s">
        <v>89</v>
      </c>
      <c r="J57" s="12" t="s">
        <v>89</v>
      </c>
      <c r="K57" s="12" t="s">
        <v>89</v>
      </c>
      <c r="L57" s="13">
        <v>1</v>
      </c>
      <c r="M57" s="5">
        <f t="shared" si="0"/>
        <v>5</v>
      </c>
      <c r="N57" s="115"/>
      <c r="O57" s="16"/>
      <c r="P57" s="16">
        <f t="shared" si="1"/>
        <v>0</v>
      </c>
      <c r="Q57" s="16"/>
      <c r="R57" s="16"/>
      <c r="S57" s="16">
        <f t="shared" si="3"/>
        <v>0</v>
      </c>
      <c r="T57" s="81" t="s">
        <v>333</v>
      </c>
      <c r="U57" s="9"/>
      <c r="V57" s="9"/>
    </row>
    <row r="58" spans="1:22" ht="15.75" thickBot="1" x14ac:dyDescent="0.3">
      <c r="A58" s="122">
        <v>56</v>
      </c>
      <c r="B58" s="206"/>
      <c r="C58" s="10" t="s">
        <v>334</v>
      </c>
      <c r="D58" s="19" t="s">
        <v>209</v>
      </c>
      <c r="E58" s="12" t="s">
        <v>66</v>
      </c>
      <c r="F58" s="12" t="s">
        <v>335</v>
      </c>
      <c r="G58" s="19" t="s">
        <v>336</v>
      </c>
      <c r="H58" s="19" t="s">
        <v>209</v>
      </c>
      <c r="I58" s="12" t="s">
        <v>89</v>
      </c>
      <c r="J58" s="12" t="s">
        <v>89</v>
      </c>
      <c r="K58" s="12" t="s">
        <v>89</v>
      </c>
      <c r="L58" s="13">
        <v>1</v>
      </c>
      <c r="M58" s="5">
        <f t="shared" si="0"/>
        <v>5</v>
      </c>
      <c r="N58" s="115" t="s">
        <v>255</v>
      </c>
      <c r="O58" s="137">
        <v>101.19</v>
      </c>
      <c r="P58" s="16">
        <f t="shared" si="1"/>
        <v>101.19</v>
      </c>
      <c r="Q58" s="16"/>
      <c r="R58" s="137">
        <v>101.19</v>
      </c>
      <c r="S58" s="16">
        <f t="shared" si="3"/>
        <v>505.95</v>
      </c>
      <c r="T58" s="17"/>
      <c r="U58" s="9"/>
      <c r="V58" s="9"/>
    </row>
    <row r="59" spans="1:22" ht="15.75" thickBot="1" x14ac:dyDescent="0.3">
      <c r="A59" s="122">
        <v>57</v>
      </c>
      <c r="B59" s="206"/>
      <c r="C59" s="82" t="s">
        <v>337</v>
      </c>
      <c r="D59" s="19" t="s">
        <v>209</v>
      </c>
      <c r="E59" s="51" t="s">
        <v>66</v>
      </c>
      <c r="F59" s="19" t="s">
        <v>338</v>
      </c>
      <c r="G59" s="19" t="s">
        <v>339</v>
      </c>
      <c r="H59" s="19" t="s">
        <v>209</v>
      </c>
      <c r="I59" s="12" t="s">
        <v>89</v>
      </c>
      <c r="J59" s="12" t="s">
        <v>89</v>
      </c>
      <c r="K59" s="12" t="s">
        <v>89</v>
      </c>
      <c r="L59" s="13">
        <v>1</v>
      </c>
      <c r="M59" s="5">
        <f t="shared" si="0"/>
        <v>5</v>
      </c>
      <c r="N59" s="115" t="s">
        <v>255</v>
      </c>
      <c r="O59" s="16">
        <v>49.99</v>
      </c>
      <c r="P59" s="16">
        <f t="shared" si="1"/>
        <v>49.99</v>
      </c>
      <c r="Q59" s="16"/>
      <c r="R59" s="16">
        <v>49.99</v>
      </c>
      <c r="S59" s="16">
        <f t="shared" si="3"/>
        <v>249.95000000000002</v>
      </c>
      <c r="T59" s="17"/>
      <c r="U59" s="9"/>
      <c r="V59" s="9"/>
    </row>
    <row r="60" spans="1:22" ht="15.75" thickBot="1" x14ac:dyDescent="0.3">
      <c r="A60" s="122">
        <v>58</v>
      </c>
      <c r="B60" s="206"/>
      <c r="C60" s="82" t="s">
        <v>340</v>
      </c>
      <c r="D60" s="19" t="s">
        <v>209</v>
      </c>
      <c r="E60" s="51" t="s">
        <v>66</v>
      </c>
      <c r="F60" s="19" t="s">
        <v>341</v>
      </c>
      <c r="G60" s="19" t="s">
        <v>342</v>
      </c>
      <c r="H60" s="19" t="s">
        <v>209</v>
      </c>
      <c r="I60" s="12" t="s">
        <v>89</v>
      </c>
      <c r="J60" s="12" t="s">
        <v>89</v>
      </c>
      <c r="K60" s="12" t="s">
        <v>89</v>
      </c>
      <c r="L60" s="13">
        <v>1</v>
      </c>
      <c r="M60" s="5">
        <f t="shared" si="0"/>
        <v>5</v>
      </c>
      <c r="N60" s="115" t="s">
        <v>342</v>
      </c>
      <c r="O60" s="140">
        <v>10</v>
      </c>
      <c r="P60" s="140">
        <f t="shared" si="1"/>
        <v>10</v>
      </c>
      <c r="Q60" s="140"/>
      <c r="R60" s="140">
        <v>10</v>
      </c>
      <c r="S60" s="140">
        <f t="shared" si="3"/>
        <v>50</v>
      </c>
      <c r="T60" s="81" t="s">
        <v>343</v>
      </c>
      <c r="U60" s="9"/>
      <c r="V60" s="9"/>
    </row>
    <row r="61" spans="1:22" ht="15.75" thickBot="1" x14ac:dyDescent="0.3">
      <c r="A61" s="122">
        <v>59</v>
      </c>
      <c r="B61" s="207"/>
      <c r="C61" s="83" t="s">
        <v>344</v>
      </c>
      <c r="D61" s="26" t="s">
        <v>209</v>
      </c>
      <c r="E61" s="40" t="s">
        <v>66</v>
      </c>
      <c r="F61" s="26" t="s">
        <v>209</v>
      </c>
      <c r="G61" s="26" t="s">
        <v>209</v>
      </c>
      <c r="H61" s="26" t="s">
        <v>209</v>
      </c>
      <c r="I61" s="24" t="s">
        <v>89</v>
      </c>
      <c r="J61" s="24" t="s">
        <v>89</v>
      </c>
      <c r="K61" s="24" t="s">
        <v>89</v>
      </c>
      <c r="L61" s="25">
        <v>2</v>
      </c>
      <c r="M61" s="106">
        <f t="shared" si="0"/>
        <v>10</v>
      </c>
      <c r="N61" s="119"/>
      <c r="O61" s="29"/>
      <c r="P61" s="129">
        <f t="shared" si="1"/>
        <v>0</v>
      </c>
      <c r="Q61" s="30"/>
      <c r="R61" s="29"/>
      <c r="S61" s="30">
        <f t="shared" si="3"/>
        <v>0</v>
      </c>
      <c r="T61" s="84" t="s">
        <v>333</v>
      </c>
      <c r="U61" s="9"/>
      <c r="V61" s="9"/>
    </row>
    <row r="62" spans="1:22" ht="15.75" thickBot="1" x14ac:dyDescent="0.3">
      <c r="H62" s="95"/>
      <c r="I62" s="95"/>
      <c r="J62" s="95"/>
      <c r="K62" s="95"/>
      <c r="L62" s="208" t="s">
        <v>345</v>
      </c>
      <c r="M62" s="208"/>
      <c r="N62" s="208"/>
      <c r="O62" s="208"/>
      <c r="P62" s="99"/>
      <c r="Q62" s="99">
        <f>SUM(Q3:Q53)</f>
        <v>182.39204999999995</v>
      </c>
      <c r="R62" s="99"/>
      <c r="S62" s="86">
        <f>SUM(S3:S51)</f>
        <v>167.59125</v>
      </c>
      <c r="T62" s="95"/>
    </row>
    <row r="63" spans="1:22" x14ac:dyDescent="0.25">
      <c r="H63" s="95"/>
      <c r="I63" s="95"/>
      <c r="J63" s="97"/>
      <c r="K63" s="95"/>
      <c r="L63" s="199" t="s">
        <v>346</v>
      </c>
      <c r="M63" s="199"/>
      <c r="N63" s="199"/>
      <c r="O63" s="199"/>
      <c r="P63" s="86">
        <f>SUM(P3:P51)</f>
        <v>32.030209999999997</v>
      </c>
      <c r="Q63" s="86"/>
      <c r="R63" s="96"/>
      <c r="S63" s="98">
        <f>S62/5</f>
        <v>33.518250000000002</v>
      </c>
      <c r="T63" s="95"/>
    </row>
    <row r="64" spans="1:22" x14ac:dyDescent="0.25">
      <c r="I64" s="88"/>
      <c r="J64" s="88"/>
    </row>
    <row r="65" spans="9:10" x14ac:dyDescent="0.25">
      <c r="J65" s="87"/>
    </row>
    <row r="66" spans="9:10" x14ac:dyDescent="0.25">
      <c r="I66" s="88"/>
      <c r="J66" s="88"/>
    </row>
  </sheetData>
  <mergeCells count="11">
    <mergeCell ref="L63:O63"/>
    <mergeCell ref="A1:T1"/>
    <mergeCell ref="B36:B42"/>
    <mergeCell ref="B43:B55"/>
    <mergeCell ref="B56:B61"/>
    <mergeCell ref="L62:O62"/>
    <mergeCell ref="B20:B35"/>
    <mergeCell ref="B3:B12"/>
    <mergeCell ref="B13:B15"/>
    <mergeCell ref="B16:B17"/>
    <mergeCell ref="B18:B19"/>
  </mergeCells>
  <conditionalFormatting sqref="L5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5">
    <cfRule type="dataBar" priority="3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{F93C577B-695B-4BE9-A4D2-BD6AA8A6912D}</x14:id>
        </ext>
      </extLst>
    </cfRule>
  </conditionalFormatting>
  <conditionalFormatting sqref="P63:S63">
    <cfRule type="dataBar" priority="3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{23C19627-CC72-4F8E-BAD3-5ABFD29CE306}</x14:id>
        </ext>
      </extLst>
    </cfRule>
  </conditionalFormatting>
  <conditionalFormatting sqref="T47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{E93E5041-7595-4B70-A4DE-203BDFD45186}</x14:id>
        </ext>
      </extLst>
    </cfRule>
  </conditionalFormatting>
  <conditionalFormatting sqref="T41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{301945FE-B701-4118-A9C3-5DA9DF529466}</x14:id>
        </ext>
      </extLst>
    </cfRule>
  </conditionalFormatting>
  <conditionalFormatting sqref="T18">
    <cfRule type="dataBar" priority="2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{C4FABE8D-C538-4F8C-AF3D-D761B6945538}</x14:id>
        </ext>
      </extLst>
    </cfRule>
  </conditionalFormatting>
  <conditionalFormatting sqref="T13">
    <cfRule type="dataBar" priority="2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{95C28DBC-1CBC-4CC5-8B31-E70202137348}</x14:id>
        </ext>
      </extLst>
    </cfRule>
  </conditionalFormatting>
  <conditionalFormatting sqref="N3:N5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{D0D7514C-12FE-4A4F-8D11-1841726592C8}</x14:id>
        </ext>
      </extLst>
    </cfRule>
  </conditionalFormatting>
  <conditionalFormatting sqref="N45:N51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{A402283A-49C9-49C3-9204-C80C4705ACAA}</x14:id>
        </ext>
      </extLst>
    </cfRule>
  </conditionalFormatting>
  <conditionalFormatting sqref="N20:N22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{F0B90621-6DA6-4516-A516-05C42ACBDF1D}</x14:id>
        </ext>
      </extLst>
    </cfRule>
  </conditionalFormatting>
  <conditionalFormatting sqref="N31:N35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{3534E561-107E-40A4-8165-E983FF420B68}</x14:id>
        </ext>
      </extLst>
    </cfRule>
  </conditionalFormatting>
  <conditionalFormatting sqref="T51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{7D9785A5-B7CB-4186-8A59-C6DD0A9D39F0}</x14:id>
        </ext>
      </extLst>
    </cfRule>
  </conditionalFormatting>
  <conditionalFormatting sqref="L3:L1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3:L53 L55 M3:M53 M55:M61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6:Q61 P3:Q51 P53:Q53 P52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{CC5A7198-6EFD-4BBD-B2B4-FEA92BA29842}</x14:id>
        </ext>
      </extLst>
    </cfRule>
  </conditionalFormatting>
  <conditionalFormatting sqref="S56:S61 S3:S53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{C84B8479-0C38-4E8A-A10C-CE0A75F3F79C}</x14:id>
        </ext>
      </extLst>
    </cfRule>
  </conditionalFormatting>
  <conditionalFormatting sqref="L5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4">
    <cfRule type="dataBar" priority="1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{D04D7BD4-38E1-4065-946C-267B61C3BCE3}</x14:id>
        </ext>
      </extLst>
    </cfRule>
  </conditionalFormatting>
  <conditionalFormatting sqref="L5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8:L5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60:L6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3" r:id="rId1"/>
    <hyperlink ref="N4" r:id="rId2"/>
    <hyperlink ref="N46" r:id="rId3"/>
    <hyperlink ref="N47" r:id="rId4"/>
    <hyperlink ref="N49" r:id="rId5"/>
    <hyperlink ref="N45" r:id="rId6"/>
    <hyperlink ref="N51" r:id="rId7"/>
    <hyperlink ref="N50" r:id="rId8"/>
    <hyperlink ref="N20" r:id="rId9"/>
    <hyperlink ref="N21" r:id="rId10"/>
    <hyperlink ref="N22" r:id="rId11"/>
    <hyperlink ref="N32" r:id="rId12"/>
    <hyperlink ref="N31" r:id="rId13"/>
    <hyperlink ref="N33" r:id="rId14"/>
    <hyperlink ref="N5" r:id="rId15"/>
    <hyperlink ref="N6" r:id="rId16"/>
    <hyperlink ref="N8" r:id="rId17"/>
    <hyperlink ref="N12" r:id="rId18"/>
    <hyperlink ref="N13" r:id="rId19"/>
    <hyperlink ref="N15" r:id="rId20"/>
    <hyperlink ref="N16" r:id="rId21"/>
    <hyperlink ref="N18" r:id="rId22"/>
    <hyperlink ref="N23" r:id="rId23"/>
    <hyperlink ref="N24" r:id="rId24"/>
    <hyperlink ref="N25" r:id="rId25"/>
    <hyperlink ref="N26" r:id="rId26"/>
    <hyperlink ref="N27" r:id="rId27"/>
    <hyperlink ref="N28" r:id="rId28"/>
    <hyperlink ref="N29" r:id="rId29"/>
    <hyperlink ref="N37" r:id="rId30"/>
    <hyperlink ref="N38" r:id="rId31"/>
    <hyperlink ref="N41" r:id="rId32"/>
    <hyperlink ref="N42" r:id="rId33"/>
    <hyperlink ref="N53" r:id="rId34"/>
    <hyperlink ref="N14" r:id="rId35"/>
    <hyperlink ref="N34" r:id="rId36"/>
    <hyperlink ref="N35" r:id="rId37"/>
    <hyperlink ref="N43" r:id="rId38"/>
    <hyperlink ref="N44" r:id="rId39"/>
    <hyperlink ref="N11" r:id="rId40"/>
    <hyperlink ref="N10" r:id="rId41"/>
    <hyperlink ref="N60" r:id="rId42"/>
    <hyperlink ref="N56" r:id="rId43"/>
    <hyperlink ref="N59" r:id="rId44"/>
    <hyperlink ref="N58" r:id="rId45"/>
    <hyperlink ref="N19" r:id="rId46"/>
    <hyperlink ref="N30" r:id="rId47"/>
    <hyperlink ref="N40" r:id="rId48"/>
    <hyperlink ref="G51" r:id="rId49" display="https://lcsc.com/brand-detail/11722.html"/>
    <hyperlink ref="N39" r:id="rId50"/>
    <hyperlink ref="N48" r:id="rId51"/>
    <hyperlink ref="N36" r:id="rId52"/>
    <hyperlink ref="N9" r:id="rId53"/>
    <hyperlink ref="N52" r:id="rId54"/>
    <hyperlink ref="N7" r:id="rId55"/>
    <hyperlink ref="N17" r:id="rId56"/>
  </hyperlinks>
  <pageMargins left="0.7" right="0.7" top="0.75" bottom="0.75" header="0.3" footer="0.3"/>
  <pageSetup orientation="portrait" r:id="rId5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3C577B-695B-4BE9-A4D2-BD6AA8A6912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T55</xm:sqref>
        </x14:conditionalFormatting>
        <x14:conditionalFormatting xmlns:xm="http://schemas.microsoft.com/office/excel/2006/main">
          <x14:cfRule type="dataBar" id="{23C19627-CC72-4F8E-BAD3-5ABFD29CE3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P63:S63</xm:sqref>
        </x14:conditionalFormatting>
        <x14:conditionalFormatting xmlns:xm="http://schemas.microsoft.com/office/excel/2006/main">
          <x14:cfRule type="dataBar" id="{E93E5041-7595-4B70-A4DE-203BDFD4518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T47</xm:sqref>
        </x14:conditionalFormatting>
        <x14:conditionalFormatting xmlns:xm="http://schemas.microsoft.com/office/excel/2006/main">
          <x14:cfRule type="dataBar" id="{301945FE-B701-4118-A9C3-5DA9DF52946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T41</xm:sqref>
        </x14:conditionalFormatting>
        <x14:conditionalFormatting xmlns:xm="http://schemas.microsoft.com/office/excel/2006/main">
          <x14:cfRule type="dataBar" id="{C4FABE8D-C538-4F8C-AF3D-D761B694553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T18</xm:sqref>
        </x14:conditionalFormatting>
        <x14:conditionalFormatting xmlns:xm="http://schemas.microsoft.com/office/excel/2006/main">
          <x14:cfRule type="dataBar" id="{95C28DBC-1CBC-4CC5-8B31-E702021373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T13</xm:sqref>
        </x14:conditionalFormatting>
        <x14:conditionalFormatting xmlns:xm="http://schemas.microsoft.com/office/excel/2006/main">
          <x14:cfRule type="dataBar" id="{D0D7514C-12FE-4A4F-8D11-1841726592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A402283A-49C9-49C3-9204-C80C4705ACA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N45:N51</xm:sqref>
        </x14:conditionalFormatting>
        <x14:conditionalFormatting xmlns:xm="http://schemas.microsoft.com/office/excel/2006/main">
          <x14:cfRule type="dataBar" id="{F0B90621-6DA6-4516-A516-05C42ACBDF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N20:N22</xm:sqref>
        </x14:conditionalFormatting>
        <x14:conditionalFormatting xmlns:xm="http://schemas.microsoft.com/office/excel/2006/main">
          <x14:cfRule type="dataBar" id="{3534E561-107E-40A4-8165-E983FF420B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N31:N35</xm:sqref>
        </x14:conditionalFormatting>
        <x14:conditionalFormatting xmlns:xm="http://schemas.microsoft.com/office/excel/2006/main">
          <x14:cfRule type="dataBar" id="{7D9785A5-B7CB-4186-8A59-C6DD0A9D39F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T51</xm:sqref>
        </x14:conditionalFormatting>
        <x14:conditionalFormatting xmlns:xm="http://schemas.microsoft.com/office/excel/2006/main">
          <x14:cfRule type="dataBar" id="{CC5A7198-6EFD-4BBD-B2B4-FEA92BA298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P56:Q61 P3:Q51 P53:Q53 P52</xm:sqref>
        </x14:conditionalFormatting>
        <x14:conditionalFormatting xmlns:xm="http://schemas.microsoft.com/office/excel/2006/main">
          <x14:cfRule type="dataBar" id="{C84B8479-0C38-4E8A-A10C-CE0A75F3F7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S56:S61 S3:S53</xm:sqref>
        </x14:conditionalFormatting>
        <x14:conditionalFormatting xmlns:xm="http://schemas.microsoft.com/office/excel/2006/main">
          <x14:cfRule type="dataBar" id="{D04D7BD4-38E1-4065-946C-267B61C3BCE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2021-06-08T13:45:48Z</dcterms:created>
  <dcterms:modified xsi:type="dcterms:W3CDTF">2021-10-05T09:45:03Z</dcterms:modified>
</cp:coreProperties>
</file>