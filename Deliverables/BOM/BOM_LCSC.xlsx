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SaleemD-CustomProduct\Deliverables\BOM\"/>
    </mc:Choice>
  </mc:AlternateContent>
  <bookViews>
    <workbookView xWindow="0" yWindow="0" windowWidth="28800" windowHeight="123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62" i="1" l="1"/>
  <c r="P63" i="1" l="1"/>
  <c r="S62" i="1"/>
  <c r="S63" i="1" s="1"/>
</calcChain>
</file>

<file path=xl/sharedStrings.xml><?xml version="1.0" encoding="utf-8"?>
<sst xmlns="http://schemas.openxmlformats.org/spreadsheetml/2006/main" count="31" uniqueCount="31">
  <si>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</si>
  <si>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</si>
  <si>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</si>
  <si>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</si>
  <si>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</si>
  <si>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</si>
  <si>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</si>
  <si>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</si>
  <si>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</si>
  <si>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</si>
  <si>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</si>
  <si>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</si>
  <si>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</si>
  <si>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</si>
  <si>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</si>
  <si>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</si>
  <si>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</si>
  <si>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</si>
  <si>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>Capacitor</t>
  </si>
  <si>
    <t>Diode</t>
  </si>
  <si>
    <t>Inductor</t>
  </si>
  <si>
    <t>Mosfet</t>
  </si>
  <si>
    <t>Resistor</t>
  </si>
  <si>
    <t>Ics</t>
  </si>
  <si>
    <t>Connector</t>
  </si>
  <si>
    <t>Additional Components</t>
  </si>
  <si>
    <t xml:space="preserve">Total Component Cost </t>
  </si>
  <si>
    <t>Single Board Cost</t>
  </si>
  <si>
    <t>Link</t>
  </si>
  <si>
    <t>MOQ Total</t>
  </si>
  <si>
    <t xml:space="preserve">Bill of Material (BOM) for Refrence Formate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</si>
</sst>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&quot;$&quot;#,##0.0000"/>
    <numFmt numFmtId="165" formatCode="&quot;$&quot;#,##0.00"/>
    <numFmt numFmtId="166" formatCode="_-[$$-409]* #,##0.00_ ;_-[$$-409]* \-#,##0.00\ ;_-[$$-409]* &quot;-&quot;??_ ;_-@_ "/>
    <numFmt numFmtId="167" formatCode="&quot;$&quot;#,##0.000000"/>
    <numFmt numFmtId="168" formatCode="&quot;$&quot;#,##0.00000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1"/>
      <color rgb="FF444444"/>
      <name val="Arial"/>
      <family val="2"/>
    </font>
    <font>
      <sz val="12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444444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12">
    <xf numFmtId="0" fontId="0" fillId="0" borderId="0" xfId="0"/>
    <xf numFmtId="0" fontId="4" fillId="0" borderId="2" xfId="0" quotePrefix="1" applyFont="1" applyBorder="1"/>
    <xf numFmtId="0" fontId="4" fillId="3" borderId="3" xfId="0" quotePrefix="1" applyFont="1" applyFill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0" xfId="0" applyFont="1"/>
    <xf numFmtId="0" fontId="4" fillId="0" borderId="6" xfId="0" quotePrefix="1" applyFont="1" applyBorder="1"/>
    <xf numFmtId="0" fontId="5" fillId="3" borderId="7" xfId="0" quotePrefix="1" applyFont="1" applyFill="1" applyBorder="1" applyAlignment="1">
      <alignment horizontal="center" vertical="center" wrapText="1"/>
    </xf>
    <xf numFmtId="0" fontId="4" fillId="0" borderId="7" xfId="0" quotePrefix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4" fontId="7" fillId="0" borderId="7" xfId="1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4" fillId="3" borderId="7" xfId="0" quotePrefix="1" applyFont="1" applyFill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/>
    </xf>
    <xf numFmtId="0" fontId="7" fillId="0" borderId="7" xfId="1" quotePrefix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4" fillId="0" borderId="10" xfId="0" quotePrefix="1" applyFont="1" applyBorder="1"/>
    <xf numFmtId="0" fontId="4" fillId="3" borderId="11" xfId="0" quotePrefix="1" applyFont="1" applyFill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11" xfId="1" quotePrefix="1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/>
    </xf>
    <xf numFmtId="165" fontId="5" fillId="0" borderId="11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 wrapText="1"/>
    </xf>
    <xf numFmtId="0" fontId="5" fillId="0" borderId="3" xfId="0" quotePrefix="1" applyFont="1" applyBorder="1" applyAlignment="1">
      <alignment horizontal="center" vertical="center"/>
    </xf>
    <xf numFmtId="166" fontId="9" fillId="3" borderId="4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5" fillId="0" borderId="2" xfId="0" quotePrefix="1" applyFont="1" applyBorder="1" applyAlignment="1">
      <alignment vertical="center" wrapText="1"/>
    </xf>
    <xf numFmtId="0" fontId="5" fillId="0" borderId="3" xfId="0" quotePrefix="1" applyFont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5" fillId="0" borderId="4" xfId="0" applyFont="1" applyBorder="1"/>
    <xf numFmtId="0" fontId="4" fillId="0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 wrapText="1"/>
    </xf>
    <xf numFmtId="0" fontId="4" fillId="0" borderId="7" xfId="0" quotePrefix="1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4" fillId="0" borderId="6" xfId="0" quotePrefix="1" applyFont="1" applyBorder="1" applyAlignment="1">
      <alignment horizontal="left" vertical="center" wrapText="1"/>
    </xf>
    <xf numFmtId="0" fontId="5" fillId="0" borderId="6" xfId="0" quotePrefix="1" applyFont="1" applyBorder="1" applyAlignment="1">
      <alignment vertical="center"/>
    </xf>
    <xf numFmtId="0" fontId="5" fillId="0" borderId="7" xfId="0" quotePrefix="1" applyFont="1" applyBorder="1" applyAlignment="1">
      <alignment horizontal="center" vertical="center" wrapText="1"/>
    </xf>
    <xf numFmtId="0" fontId="5" fillId="0" borderId="13" xfId="0" quotePrefix="1" applyFont="1" applyBorder="1" applyAlignment="1">
      <alignment vertical="center" wrapText="1"/>
    </xf>
    <xf numFmtId="0" fontId="5" fillId="3" borderId="14" xfId="0" quotePrefix="1" applyFont="1" applyFill="1" applyBorder="1" applyAlignment="1">
      <alignment horizontal="center" vertical="center" wrapText="1"/>
    </xf>
    <xf numFmtId="0" fontId="5" fillId="0" borderId="14" xfId="0" quotePrefix="1" applyFont="1" applyBorder="1" applyAlignment="1">
      <alignment horizontal="center" vertical="center" wrapText="1"/>
    </xf>
    <xf numFmtId="0" fontId="4" fillId="0" borderId="14" xfId="0" quotePrefix="1" applyFont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/>
    </xf>
    <xf numFmtId="0" fontId="5" fillId="0" borderId="6" xfId="0" quotePrefix="1" applyFont="1" applyBorder="1" applyAlignment="1">
      <alignment vertical="center" wrapText="1"/>
    </xf>
    <xf numFmtId="0" fontId="8" fillId="3" borderId="8" xfId="0" applyFont="1" applyFill="1" applyBorder="1" applyAlignment="1">
      <alignment horizontal="center" vertical="center"/>
    </xf>
    <xf numFmtId="166" fontId="9" fillId="3" borderId="8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0" fontId="4" fillId="0" borderId="15" xfId="0" quotePrefix="1" applyFont="1" applyBorder="1" applyAlignment="1">
      <alignment horizontal="center" vertical="center"/>
    </xf>
    <xf numFmtId="0" fontId="5" fillId="0" borderId="15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4" fillId="0" borderId="17" xfId="0" quotePrefix="1" applyFont="1" applyBorder="1"/>
    <xf numFmtId="0" fontId="4" fillId="0" borderId="18" xfId="0" quotePrefix="1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10" fillId="4" borderId="6" xfId="0" quotePrefix="1" applyFont="1" applyFill="1" applyBorder="1" applyAlignment="1">
      <alignment horizontal="left" vertical="center" wrapText="1"/>
    </xf>
    <xf numFmtId="0" fontId="10" fillId="4" borderId="7" xfId="0" quotePrefix="1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/>
    </xf>
    <xf numFmtId="0" fontId="10" fillId="4" borderId="7" xfId="0" quotePrefix="1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164" fontId="10" fillId="4" borderId="7" xfId="0" quotePrefix="1" applyNumberFormat="1" applyFont="1" applyFill="1" applyBorder="1" applyAlignment="1">
      <alignment horizontal="center" vertical="center"/>
    </xf>
    <xf numFmtId="166" fontId="9" fillId="4" borderId="8" xfId="0" applyNumberFormat="1" applyFont="1" applyFill="1" applyBorder="1" applyAlignment="1">
      <alignment horizontal="center" vertical="center"/>
    </xf>
    <xf numFmtId="0" fontId="10" fillId="4" borderId="10" xfId="0" quotePrefix="1" applyFont="1" applyFill="1" applyBorder="1" applyAlignment="1">
      <alignment horizontal="left" vertical="center" wrapText="1"/>
    </xf>
    <xf numFmtId="0" fontId="10" fillId="4" borderId="11" xfId="0" quotePrefix="1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/>
    </xf>
    <xf numFmtId="0" fontId="10" fillId="4" borderId="11" xfId="0" quotePrefix="1" applyFont="1" applyFill="1" applyBorder="1" applyAlignment="1">
      <alignment horizontal="center" vertical="center"/>
    </xf>
    <xf numFmtId="0" fontId="10" fillId="4" borderId="14" xfId="0" quotePrefix="1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 wrapText="1"/>
    </xf>
    <xf numFmtId="166" fontId="9" fillId="4" borderId="20" xfId="0" applyNumberFormat="1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4" fillId="0" borderId="6" xfId="0" applyFont="1" applyFill="1" applyBorder="1"/>
    <xf numFmtId="0" fontId="4" fillId="0" borderId="10" xfId="0" applyFont="1" applyFill="1" applyBorder="1"/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5" fontId="5" fillId="0" borderId="0" xfId="0" applyNumberFormat="1" applyFont="1" applyFill="1" applyBorder="1" applyAlignment="1">
      <alignment horizontal="center" vertical="center"/>
    </xf>
    <xf numFmtId="0" fontId="11" fillId="5" borderId="0" xfId="0" applyFont="1" applyFill="1" applyAlignment="1">
      <alignment horizontal="left" vertical="top" wrapText="1"/>
    </xf>
    <xf numFmtId="0" fontId="0" fillId="5" borderId="0" xfId="0" applyFill="1"/>
    <xf numFmtId="0" fontId="2" fillId="2" borderId="22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" fillId="4" borderId="7" xfId="0" quotePrefix="1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5" fillId="0" borderId="6" xfId="0" quotePrefix="1" applyFont="1" applyFill="1" applyBorder="1" applyAlignment="1">
      <alignment vertical="center" wrapText="1"/>
    </xf>
    <xf numFmtId="0" fontId="5" fillId="0" borderId="7" xfId="0" quotePrefix="1" applyFont="1" applyFill="1" applyBorder="1" applyAlignment="1">
      <alignment horizontal="center" vertical="center" wrapText="1"/>
    </xf>
    <xf numFmtId="0" fontId="5" fillId="0" borderId="0" xfId="0" applyFont="1"/>
    <xf numFmtId="165" fontId="5" fillId="0" borderId="0" xfId="0" applyNumberFormat="1" applyFont="1"/>
    <xf numFmtId="0" fontId="15" fillId="5" borderId="0" xfId="0" applyFont="1" applyFill="1" applyAlignment="1">
      <alignment horizontal="left" vertical="top" wrapText="1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0" fontId="4" fillId="4" borderId="6" xfId="0" quotePrefix="1" applyFont="1" applyFill="1" applyBorder="1" applyAlignment="1"/>
    <xf numFmtId="0" fontId="5" fillId="4" borderId="7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164" fontId="5" fillId="4" borderId="3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164" fontId="7" fillId="0" borderId="26" xfId="1" applyNumberFormat="1" applyFont="1" applyBorder="1" applyAlignment="1">
      <alignment horizontal="center" vertical="center"/>
    </xf>
    <xf numFmtId="164" fontId="7" fillId="0" borderId="27" xfId="1" applyNumberFormat="1" applyFont="1" applyBorder="1" applyAlignment="1">
      <alignment horizontal="center" vertical="center"/>
    </xf>
    <xf numFmtId="0" fontId="7" fillId="0" borderId="27" xfId="1" quotePrefix="1" applyFont="1" applyBorder="1" applyAlignment="1">
      <alignment horizontal="center" vertical="center"/>
    </xf>
    <xf numFmtId="0" fontId="7" fillId="4" borderId="27" xfId="1" quotePrefix="1" applyFont="1" applyFill="1" applyBorder="1" applyAlignment="1">
      <alignment horizontal="center" vertical="center"/>
    </xf>
    <xf numFmtId="0" fontId="7" fillId="0" borderId="28" xfId="1" quotePrefix="1" applyFont="1" applyBorder="1" applyAlignment="1">
      <alignment horizontal="center" vertical="center"/>
    </xf>
    <xf numFmtId="0" fontId="7" fillId="0" borderId="26" xfId="1" quotePrefix="1" applyFont="1" applyBorder="1" applyAlignment="1">
      <alignment horizontal="center" vertical="center"/>
    </xf>
    <xf numFmtId="0" fontId="7" fillId="0" borderId="23" xfId="1" quotePrefix="1" applyFont="1" applyBorder="1" applyAlignment="1">
      <alignment horizontal="center" vertical="center"/>
    </xf>
    <xf numFmtId="164" fontId="7" fillId="0" borderId="29" xfId="1" applyNumberFormat="1" applyFont="1" applyBorder="1" applyAlignment="1">
      <alignment horizontal="center" vertical="center"/>
    </xf>
    <xf numFmtId="0" fontId="7" fillId="0" borderId="27" xfId="1" applyFont="1" applyBorder="1" applyAlignment="1">
      <alignment horizontal="center" vertical="center"/>
    </xf>
    <xf numFmtId="0" fontId="10" fillId="4" borderId="27" xfId="0" quotePrefix="1" applyFont="1" applyFill="1" applyBorder="1" applyAlignment="1">
      <alignment horizontal="center" vertical="center"/>
    </xf>
    <xf numFmtId="0" fontId="10" fillId="4" borderId="30" xfId="0" quotePrefix="1" applyFont="1" applyFill="1" applyBorder="1" applyAlignment="1">
      <alignment horizontal="center" vertical="center"/>
    </xf>
    <xf numFmtId="0" fontId="7" fillId="0" borderId="26" xfId="1" applyFont="1" applyBorder="1" applyAlignment="1">
      <alignment horizontal="center" vertical="center"/>
    </xf>
    <xf numFmtId="0" fontId="7" fillId="0" borderId="28" xfId="1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3" fillId="2" borderId="32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4" fillId="0" borderId="7" xfId="0" quotePrefix="1" applyFont="1" applyBorder="1"/>
    <xf numFmtId="0" fontId="4" fillId="0" borderId="3" xfId="0" quotePrefix="1" applyFont="1" applyBorder="1"/>
    <xf numFmtId="0" fontId="4" fillId="0" borderId="11" xfId="0" quotePrefix="1" applyFont="1" applyBorder="1"/>
    <xf numFmtId="167" fontId="5" fillId="0" borderId="11" xfId="0" applyNumberFormat="1" applyFont="1" applyBorder="1" applyAlignment="1">
      <alignment horizontal="center" vertical="center"/>
    </xf>
    <xf numFmtId="0" fontId="7" fillId="0" borderId="0" xfId="1" quotePrefix="1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164" fontId="7" fillId="0" borderId="30" xfId="1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64" fontId="10" fillId="4" borderId="11" xfId="0" quotePrefix="1" applyNumberFormat="1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164" fontId="13" fillId="0" borderId="7" xfId="0" applyNumberFormat="1" applyFont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164" fontId="5" fillId="4" borderId="7" xfId="0" applyNumberFormat="1" applyFont="1" applyFill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/>
    </xf>
    <xf numFmtId="164" fontId="4" fillId="0" borderId="7" xfId="0" applyNumberFormat="1" applyFont="1" applyFill="1" applyBorder="1" applyAlignment="1">
      <alignment horizontal="center" vertical="center"/>
    </xf>
    <xf numFmtId="164" fontId="5" fillId="0" borderId="7" xfId="0" applyNumberFormat="1" applyFont="1" applyFill="1" applyBorder="1" applyAlignment="1">
      <alignment horizontal="center" vertical="center"/>
    </xf>
    <xf numFmtId="0" fontId="4" fillId="4" borderId="17" xfId="0" quotePrefix="1" applyFont="1" applyFill="1" applyBorder="1"/>
    <xf numFmtId="0" fontId="4" fillId="4" borderId="18" xfId="0" quotePrefix="1" applyFont="1" applyFill="1" applyBorder="1" applyAlignment="1">
      <alignment horizontal="center" vertical="center"/>
    </xf>
    <xf numFmtId="0" fontId="4" fillId="4" borderId="18" xfId="0" applyFont="1" applyFill="1" applyBorder="1" applyAlignment="1">
      <alignment horizontal="center" vertical="center"/>
    </xf>
    <xf numFmtId="0" fontId="5" fillId="4" borderId="18" xfId="0" applyFont="1" applyFill="1" applyBorder="1" applyAlignment="1">
      <alignment horizontal="center" vertical="center"/>
    </xf>
    <xf numFmtId="0" fontId="6" fillId="4" borderId="18" xfId="1" quotePrefix="1" applyFill="1" applyBorder="1" applyAlignment="1">
      <alignment horizontal="center" vertical="center"/>
    </xf>
    <xf numFmtId="164" fontId="5" fillId="4" borderId="18" xfId="0" applyNumberFormat="1" applyFont="1" applyFill="1" applyBorder="1" applyAlignment="1">
      <alignment horizontal="center" vertical="center"/>
    </xf>
    <xf numFmtId="0" fontId="8" fillId="4" borderId="19" xfId="0" applyFont="1" applyFill="1" applyBorder="1" applyAlignment="1">
      <alignment horizontal="center" vertical="center"/>
    </xf>
    <xf numFmtId="168" fontId="5" fillId="0" borderId="7" xfId="0" applyNumberFormat="1" applyFont="1" applyBorder="1" applyAlignment="1">
      <alignment horizontal="center" vertical="center"/>
    </xf>
    <xf numFmtId="168" fontId="4" fillId="0" borderId="0" xfId="0" applyNumberFormat="1" applyFont="1" applyAlignment="1">
      <alignment horizontal="center" vertical="center"/>
    </xf>
    <xf numFmtId="0" fontId="6" fillId="0" borderId="7" xfId="1" quotePrefix="1" applyFont="1" applyBorder="1" applyAlignment="1">
      <alignment horizontal="center" vertical="center"/>
    </xf>
    <xf numFmtId="0" fontId="4" fillId="4" borderId="6" xfId="0" quotePrefix="1" applyFont="1" applyFill="1" applyBorder="1"/>
    <xf numFmtId="0" fontId="5" fillId="4" borderId="7" xfId="0" applyFont="1" applyFill="1" applyBorder="1" applyAlignment="1">
      <alignment horizontal="center" vertical="center" wrapText="1"/>
    </xf>
    <xf numFmtId="165" fontId="13" fillId="4" borderId="0" xfId="0" applyNumberFormat="1" applyFont="1" applyFill="1" applyAlignment="1">
      <alignment horizontal="center" vertical="center"/>
    </xf>
    <xf numFmtId="164" fontId="5" fillId="0" borderId="18" xfId="0" applyNumberFormat="1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6" fillId="0" borderId="27" xfId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7" xfId="0" quotePrefix="1" applyFont="1" applyBorder="1" applyAlignment="1">
      <alignment horizontal="left" vertical="top"/>
    </xf>
    <xf numFmtId="0" fontId="4" fillId="0" borderId="7" xfId="0" quotePrefix="1" applyFont="1" applyFill="1" applyBorder="1"/>
    <xf numFmtId="0" fontId="7" fillId="0" borderId="7" xfId="1" quotePrefix="1" applyFont="1" applyFill="1" applyBorder="1" applyAlignment="1">
      <alignment horizontal="center" vertical="center"/>
    </xf>
    <xf numFmtId="164" fontId="13" fillId="0" borderId="7" xfId="0" applyNumberFormat="1" applyFont="1" applyFill="1" applyBorder="1" applyAlignment="1">
      <alignment horizontal="center" vertical="center"/>
    </xf>
    <xf numFmtId="0" fontId="8" fillId="0" borderId="8" xfId="0" applyFont="1" applyFill="1" applyBorder="1" applyAlignment="1">
      <alignment horizontal="center" vertical="center"/>
    </xf>
    <xf numFmtId="0" fontId="4" fillId="3" borderId="7" xfId="0" quotePrefix="1" applyFont="1" applyFill="1" applyBorder="1" applyAlignment="1"/>
    <xf numFmtId="0" fontId="4" fillId="3" borderId="7" xfId="0" applyFont="1" applyFill="1" applyBorder="1" applyAlignment="1">
      <alignment horizontal="center" vertical="center"/>
    </xf>
    <xf numFmtId="0" fontId="5" fillId="3" borderId="7" xfId="0" quotePrefix="1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164" fontId="4" fillId="3" borderId="7" xfId="0" applyNumberFormat="1" applyFont="1" applyFill="1" applyBorder="1" applyAlignment="1">
      <alignment horizontal="center" vertical="center"/>
    </xf>
    <xf numFmtId="164" fontId="5" fillId="3" borderId="7" xfId="0" applyNumberFormat="1" applyFont="1" applyFill="1" applyBorder="1" applyAlignment="1">
      <alignment horizontal="center" vertical="center"/>
    </xf>
    <xf numFmtId="165" fontId="5" fillId="3" borderId="7" xfId="0" applyNumberFormat="1" applyFont="1" applyFill="1" applyBorder="1" applyAlignment="1">
      <alignment horizontal="center" vertical="center"/>
    </xf>
    <xf numFmtId="164" fontId="4" fillId="3" borderId="11" xfId="0" applyNumberFormat="1" applyFont="1" applyFill="1" applyBorder="1" applyAlignment="1">
      <alignment horizontal="center" vertical="center"/>
    </xf>
    <xf numFmtId="164" fontId="5" fillId="3" borderId="11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5" fillId="3" borderId="10" xfId="0" quotePrefix="1" applyFont="1" applyFill="1" applyBorder="1" applyAlignment="1">
      <alignment vertical="center" wrapText="1"/>
    </xf>
    <xf numFmtId="0" fontId="5" fillId="3" borderId="11" xfId="0" applyFont="1" applyFill="1" applyBorder="1" applyAlignment="1">
      <alignment horizontal="center" vertical="center"/>
    </xf>
    <xf numFmtId="0" fontId="4" fillId="3" borderId="21" xfId="0" quotePrefix="1" applyFont="1" applyFill="1" applyBorder="1" applyAlignment="1">
      <alignment horizontal="center" vertical="center"/>
    </xf>
    <xf numFmtId="165" fontId="5" fillId="3" borderId="11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 wrapText="1"/>
    </xf>
    <xf numFmtId="0" fontId="5" fillId="3" borderId="11" xfId="0" quotePrefix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/>
    </xf>
    <xf numFmtId="0" fontId="4" fillId="3" borderId="6" xfId="0" quotePrefix="1" applyFont="1" applyFill="1" applyBorder="1"/>
    <xf numFmtId="164" fontId="7" fillId="3" borderId="27" xfId="1" applyNumberFormat="1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3" borderId="7" xfId="0" applyFill="1" applyBorder="1"/>
    <xf numFmtId="0" fontId="5" fillId="3" borderId="24" xfId="0" applyFont="1" applyFill="1" applyBorder="1"/>
    <xf numFmtId="0" fontId="4" fillId="3" borderId="7" xfId="0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 vertical="center"/>
    </xf>
    <xf numFmtId="0" fontId="5" fillId="6" borderId="14" xfId="0" quotePrefix="1" applyFont="1" applyFill="1" applyBorder="1" applyAlignment="1">
      <alignment horizontal="center" vertical="center" wrapText="1"/>
    </xf>
    <xf numFmtId="0" fontId="4" fillId="6" borderId="14" xfId="0" quotePrefix="1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6" borderId="11" xfId="0" quotePrefix="1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wrapText="1"/>
    </xf>
    <xf numFmtId="0" fontId="2" fillId="2" borderId="36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4" fillId="3" borderId="21" xfId="0" applyFont="1" applyFill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6"/>
  <sheetViews>
    <sheetView tabSelected="1" topLeftCell="A34" zoomScale="98" zoomScaleNormal="98" workbookViewId="0">
      <selection activeCell="C3" sqref="C3:T61"/>
    </sheetView>
  </sheetViews>
  <sheetFormatPr defaultRowHeight="15" x14ac:dyDescent="0.25"/>
  <cols>
    <col min="1" max="1" width="6.140625" style="85" bestFit="1" customWidth="1"/>
    <col min="2" max="2" width="14.42578125" customWidth="1"/>
    <col min="3" max="3" width="47.5703125" customWidth="1"/>
    <col min="4" max="4" width="41" bestFit="1" customWidth="1"/>
    <col min="5" max="5" width="21" bestFit="1" customWidth="1"/>
    <col min="6" max="6" width="29" bestFit="1" customWidth="1"/>
    <col min="7" max="7" width="19.140625" bestFit="1" customWidth="1"/>
    <col min="8" max="8" width="14.42578125" customWidth="1"/>
    <col min="9" max="9" width="21.5703125" bestFit="1" customWidth="1"/>
    <col min="10" max="10" width="6.140625" bestFit="1" customWidth="1"/>
    <col min="11" max="11" width="11.5703125" bestFit="1" customWidth="1"/>
    <col min="12" max="12" width="21.85546875" bestFit="1" customWidth="1"/>
    <col min="13" max="13" width="11.7109375" bestFit="1" customWidth="1"/>
    <col min="14" max="14" width="10.28515625" bestFit="1" customWidth="1"/>
    <col min="15" max="15" width="12.7109375" bestFit="1" customWidth="1"/>
    <col min="16" max="17" width="13.42578125" bestFit="1" customWidth="1"/>
    <col min="18" max="18" width="21" bestFit="1" customWidth="1"/>
    <col min="19" max="19" width="12.5703125" bestFit="1" customWidth="1"/>
    <col min="20" max="20" width="49.28515625" bestFit="1" customWidth="1"/>
  </cols>
  <sheetData>
    <row r="1" spans="1:22" ht="16.5" thickBot="1" x14ac:dyDescent="0.3">
      <c r="A1" s="200" t="s">
        <v>30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</row>
    <row r="2" spans="1:22" ht="16.5" thickBot="1" x14ac:dyDescent="0.3">
      <c r="A2" s="89" t="s">
        <v>0</v>
      </c>
      <c r="B2" s="123" t="s">
        <v>1</v>
      </c>
      <c r="C2" s="124" t="s">
        <v>2</v>
      </c>
      <c r="D2" s="124" t="s">
        <v>3</v>
      </c>
      <c r="E2" s="124" t="s">
        <v>4</v>
      </c>
      <c r="F2" s="124" t="s">
        <v>5</v>
      </c>
      <c r="G2" s="124" t="s">
        <v>6</v>
      </c>
      <c r="H2" s="124" t="s">
        <v>7</v>
      </c>
      <c r="I2" s="124" t="s">
        <v>8</v>
      </c>
      <c r="J2" s="124" t="s">
        <v>9</v>
      </c>
      <c r="K2" s="124" t="s">
        <v>10</v>
      </c>
      <c r="L2" s="124" t="s">
        <v>11</v>
      </c>
      <c r="M2" s="124" t="s">
        <v>12</v>
      </c>
      <c r="N2" s="125" t="s">
        <v>28</v>
      </c>
      <c r="O2" s="120" t="s">
        <v>13</v>
      </c>
      <c r="P2" s="120" t="s">
        <v>14</v>
      </c>
      <c r="Q2" s="90" t="s">
        <v>29</v>
      </c>
      <c r="R2" s="120" t="s">
        <v>15</v>
      </c>
      <c r="S2" s="121" t="s">
        <v>16</v>
      </c>
      <c r="T2" s="124" t="s">
        <v>17</v>
      </c>
    </row>
    <row r="3" spans="1:22" ht="15.75" thickBot="1" x14ac:dyDescent="0.3">
      <c r="A3" s="122">
        <v>1</v>
      </c>
      <c r="B3" s="209" t="s">
        <v>18</v>
      </c>
      <c r="C3" s="127"/>
      <c r="D3" s="2"/>
      <c r="E3" s="3"/>
      <c r="F3" s="2"/>
      <c r="G3" s="2"/>
      <c r="H3" s="190"/>
      <c r="I3" s="185"/>
      <c r="J3" s="3"/>
      <c r="K3" s="5"/>
      <c r="L3" s="4"/>
      <c r="M3" s="5"/>
      <c r="N3" s="6"/>
      <c r="O3" s="136"/>
      <c r="P3" s="7"/>
      <c r="Q3" s="7"/>
      <c r="R3" s="136"/>
      <c r="S3" s="7"/>
      <c r="T3" s="8"/>
      <c r="U3" s="9"/>
      <c r="V3" s="9"/>
    </row>
    <row r="4" spans="1:22" ht="15.75" thickBot="1" x14ac:dyDescent="0.3">
      <c r="A4" s="122">
        <v>2</v>
      </c>
      <c r="B4" s="210"/>
      <c r="C4" s="126"/>
      <c r="D4" s="11"/>
      <c r="E4" s="12"/>
      <c r="F4" s="18"/>
      <c r="G4" s="18"/>
      <c r="H4" s="170"/>
      <c r="I4" s="170"/>
      <c r="J4" s="12"/>
      <c r="K4" s="14"/>
      <c r="L4" s="13"/>
      <c r="M4" s="14"/>
      <c r="N4" s="15"/>
      <c r="O4" s="137"/>
      <c r="P4" s="16"/>
      <c r="Q4" s="16"/>
      <c r="R4" s="138"/>
      <c r="S4" s="16"/>
      <c r="T4" s="17"/>
      <c r="U4" s="9"/>
      <c r="V4" s="9"/>
    </row>
    <row r="5" spans="1:22" ht="15.75" thickBot="1" x14ac:dyDescent="0.3">
      <c r="A5" s="122">
        <v>3</v>
      </c>
      <c r="B5" s="210"/>
      <c r="C5" s="126"/>
      <c r="D5" s="18"/>
      <c r="E5" s="12"/>
      <c r="F5" s="18"/>
      <c r="G5" s="18"/>
      <c r="H5" s="170"/>
      <c r="I5" s="171"/>
      <c r="J5" s="12"/>
      <c r="K5" s="14"/>
      <c r="L5" s="13"/>
      <c r="M5" s="14"/>
      <c r="N5" s="15"/>
      <c r="O5" s="137"/>
      <c r="P5" s="16"/>
      <c r="Q5" s="16"/>
      <c r="R5" s="137"/>
      <c r="S5" s="16"/>
      <c r="T5" s="17"/>
      <c r="U5" s="9"/>
      <c r="V5" s="9"/>
    </row>
    <row r="6" spans="1:22" ht="15.75" thickBot="1" x14ac:dyDescent="0.3">
      <c r="A6" s="122">
        <v>4</v>
      </c>
      <c r="B6" s="210"/>
      <c r="C6" s="126"/>
      <c r="D6" s="18"/>
      <c r="E6" s="12"/>
      <c r="F6" s="18"/>
      <c r="G6" s="18"/>
      <c r="H6" s="170"/>
      <c r="I6" s="171"/>
      <c r="J6" s="12"/>
      <c r="K6" s="14"/>
      <c r="L6" s="13"/>
      <c r="M6" s="14"/>
      <c r="N6" s="20"/>
      <c r="O6" s="152"/>
      <c r="P6" s="151"/>
      <c r="Q6" s="151"/>
      <c r="R6" s="152"/>
      <c r="S6" s="16"/>
      <c r="T6" s="17"/>
      <c r="U6" s="9"/>
      <c r="V6" s="9"/>
    </row>
    <row r="7" spans="1:22" ht="15.75" thickBot="1" x14ac:dyDescent="0.3">
      <c r="A7" s="122">
        <v>5</v>
      </c>
      <c r="B7" s="210"/>
      <c r="C7" s="169"/>
      <c r="D7" s="11"/>
      <c r="E7" s="18"/>
      <c r="F7" s="18"/>
      <c r="G7" s="18"/>
      <c r="H7" s="170"/>
      <c r="I7" s="171"/>
      <c r="J7" s="18"/>
      <c r="K7" s="172"/>
      <c r="L7" s="92"/>
      <c r="M7" s="101"/>
      <c r="N7" s="20"/>
      <c r="O7" s="173"/>
      <c r="P7" s="174"/>
      <c r="Q7" s="174"/>
      <c r="R7" s="173"/>
      <c r="S7" s="175"/>
      <c r="T7" s="54"/>
      <c r="U7" s="9"/>
      <c r="V7" s="9"/>
    </row>
    <row r="8" spans="1:22" ht="15.75" thickBot="1" x14ac:dyDescent="0.3">
      <c r="A8" s="122">
        <v>6</v>
      </c>
      <c r="B8" s="210"/>
      <c r="C8" s="126"/>
      <c r="D8" s="18"/>
      <c r="E8" s="12"/>
      <c r="F8" s="18"/>
      <c r="G8" s="18"/>
      <c r="H8" s="170"/>
      <c r="I8" s="171"/>
      <c r="J8" s="12"/>
      <c r="K8" s="14"/>
      <c r="L8" s="13"/>
      <c r="M8" s="14"/>
      <c r="N8" s="20"/>
      <c r="O8" s="137"/>
      <c r="P8" s="16"/>
      <c r="Q8" s="16"/>
      <c r="R8" s="137"/>
      <c r="S8" s="16"/>
      <c r="T8" s="17"/>
      <c r="U8" s="9"/>
      <c r="V8" s="9"/>
    </row>
    <row r="9" spans="1:22" ht="15.75" thickBot="1" x14ac:dyDescent="0.3">
      <c r="A9" s="122">
        <v>7</v>
      </c>
      <c r="B9" s="210"/>
      <c r="C9" s="126"/>
      <c r="D9" s="18"/>
      <c r="E9" s="12"/>
      <c r="F9" s="18"/>
      <c r="G9" s="18"/>
      <c r="H9" s="170"/>
      <c r="I9" s="170"/>
      <c r="J9" s="12"/>
      <c r="K9" s="14"/>
      <c r="L9" s="13"/>
      <c r="M9" s="14"/>
      <c r="N9" s="153"/>
      <c r="O9" s="138"/>
      <c r="P9" s="16"/>
      <c r="Q9" s="16"/>
      <c r="R9" s="138"/>
      <c r="S9" s="16"/>
      <c r="T9" s="17"/>
      <c r="U9" s="9"/>
      <c r="V9" s="9"/>
    </row>
    <row r="10" spans="1:22" ht="15.75" thickBot="1" x14ac:dyDescent="0.3">
      <c r="A10" s="122">
        <v>8</v>
      </c>
      <c r="B10" s="210"/>
      <c r="C10" s="165"/>
      <c r="D10" s="94"/>
      <c r="E10" s="42"/>
      <c r="F10" s="171"/>
      <c r="G10" s="18"/>
      <c r="H10" s="170"/>
      <c r="I10" s="191"/>
      <c r="J10" s="42"/>
      <c r="K10" s="52"/>
      <c r="L10" s="51"/>
      <c r="M10" s="52"/>
      <c r="N10" s="166"/>
      <c r="O10" s="142"/>
      <c r="P10" s="143"/>
      <c r="Q10" s="143"/>
      <c r="R10" s="167"/>
      <c r="S10" s="143"/>
      <c r="T10" s="168"/>
      <c r="U10" s="9"/>
      <c r="V10" s="9"/>
    </row>
    <row r="11" spans="1:22" ht="15.75" thickBot="1" x14ac:dyDescent="0.3">
      <c r="A11" s="122">
        <v>9</v>
      </c>
      <c r="B11" s="210"/>
      <c r="C11" s="165"/>
      <c r="D11" s="42"/>
      <c r="E11" s="42"/>
      <c r="F11" s="171"/>
      <c r="G11" s="18"/>
      <c r="H11" s="170"/>
      <c r="I11" s="191"/>
      <c r="J11" s="42"/>
      <c r="K11" s="52"/>
      <c r="L11" s="51"/>
      <c r="M11" s="52"/>
      <c r="N11" s="166"/>
      <c r="O11" s="142"/>
      <c r="P11" s="143"/>
      <c r="Q11" s="143"/>
      <c r="R11" s="142"/>
      <c r="S11" s="143"/>
      <c r="T11" s="168"/>
      <c r="U11" s="9"/>
      <c r="V11" s="9"/>
    </row>
    <row r="12" spans="1:22" ht="15.75" thickBot="1" x14ac:dyDescent="0.3">
      <c r="A12" s="122">
        <v>10</v>
      </c>
      <c r="B12" s="211"/>
      <c r="C12" s="128"/>
      <c r="D12" s="23"/>
      <c r="E12" s="24"/>
      <c r="F12" s="171"/>
      <c r="G12" s="18"/>
      <c r="H12" s="170"/>
      <c r="I12" s="171"/>
      <c r="J12" s="24"/>
      <c r="K12" s="27"/>
      <c r="L12" s="25"/>
      <c r="M12" s="27"/>
      <c r="N12" s="28"/>
      <c r="O12" s="141"/>
      <c r="P12" s="29"/>
      <c r="Q12" s="29"/>
      <c r="R12" s="141"/>
      <c r="S12" s="29"/>
      <c r="T12" s="31"/>
      <c r="U12" s="9"/>
      <c r="V12" s="9"/>
    </row>
    <row r="13" spans="1:22" ht="15.75" thickBot="1" x14ac:dyDescent="0.3">
      <c r="A13" s="122">
        <v>11</v>
      </c>
      <c r="B13" s="203" t="s">
        <v>19</v>
      </c>
      <c r="C13" s="1"/>
      <c r="D13" s="32"/>
      <c r="E13" s="3"/>
      <c r="F13" s="2"/>
      <c r="G13" s="2"/>
      <c r="H13" s="190"/>
      <c r="I13" s="186"/>
      <c r="J13" s="3"/>
      <c r="K13" s="5"/>
      <c r="L13" s="4"/>
      <c r="M13" s="5"/>
      <c r="N13" s="112"/>
      <c r="O13" s="136"/>
      <c r="P13" s="7"/>
      <c r="Q13" s="7"/>
      <c r="R13" s="136"/>
      <c r="S13" s="7"/>
      <c r="T13" s="34"/>
      <c r="U13" s="9"/>
      <c r="V13" s="9"/>
    </row>
    <row r="14" spans="1:22" ht="15.75" thickBot="1" x14ac:dyDescent="0.3">
      <c r="A14" s="122">
        <v>12</v>
      </c>
      <c r="B14" s="202"/>
      <c r="C14" s="10"/>
      <c r="D14" s="12"/>
      <c r="E14" s="12"/>
      <c r="F14" s="18"/>
      <c r="G14" s="18"/>
      <c r="H14" s="170"/>
      <c r="I14" s="171"/>
      <c r="J14" s="12"/>
      <c r="K14" s="14"/>
      <c r="L14" s="13"/>
      <c r="M14" s="5"/>
      <c r="N14" s="109"/>
      <c r="O14" s="137"/>
      <c r="P14" s="16"/>
      <c r="Q14" s="16"/>
      <c r="R14" s="137"/>
      <c r="S14" s="16"/>
      <c r="T14" s="17"/>
      <c r="U14" s="9"/>
      <c r="V14" s="9"/>
    </row>
    <row r="15" spans="1:22" ht="15.75" thickBot="1" x14ac:dyDescent="0.3">
      <c r="A15" s="122">
        <v>13</v>
      </c>
      <c r="B15" s="204"/>
      <c r="C15" s="22"/>
      <c r="D15" s="24"/>
      <c r="E15" s="24"/>
      <c r="F15" s="23"/>
      <c r="G15" s="23"/>
      <c r="H15" s="183"/>
      <c r="I15" s="184"/>
      <c r="J15" s="24"/>
      <c r="K15" s="27"/>
      <c r="L15" s="25"/>
      <c r="M15" s="106"/>
      <c r="N15" s="111"/>
      <c r="O15" s="141"/>
      <c r="P15" s="29"/>
      <c r="Q15" s="29"/>
      <c r="R15" s="141"/>
      <c r="S15" s="29"/>
      <c r="T15" s="31"/>
      <c r="U15" s="9"/>
      <c r="V15" s="9"/>
    </row>
    <row r="16" spans="1:22" ht="15.75" thickBot="1" x14ac:dyDescent="0.3">
      <c r="A16" s="122">
        <v>14</v>
      </c>
      <c r="B16" s="203" t="s">
        <v>20</v>
      </c>
      <c r="C16" s="36"/>
      <c r="D16" s="37"/>
      <c r="E16" s="37"/>
      <c r="F16" s="32"/>
      <c r="G16" s="32"/>
      <c r="H16" s="185"/>
      <c r="I16" s="186"/>
      <c r="J16" s="37"/>
      <c r="K16" s="5"/>
      <c r="L16" s="38"/>
      <c r="M16" s="5"/>
      <c r="N16" s="112"/>
      <c r="O16" s="136"/>
      <c r="P16" s="7"/>
      <c r="Q16" s="7"/>
      <c r="R16" s="136"/>
      <c r="S16" s="7"/>
      <c r="T16" s="39"/>
      <c r="U16" s="9"/>
      <c r="V16" s="9"/>
    </row>
    <row r="17" spans="1:22" ht="15.75" thickBot="1" x14ac:dyDescent="0.3">
      <c r="A17" s="122">
        <v>15</v>
      </c>
      <c r="B17" s="204"/>
      <c r="C17" s="179"/>
      <c r="D17" s="41"/>
      <c r="E17" s="41"/>
      <c r="F17" s="41"/>
      <c r="G17" s="41"/>
      <c r="H17" s="23"/>
      <c r="I17" s="181"/>
      <c r="J17" s="41"/>
      <c r="K17" s="180"/>
      <c r="L17" s="104"/>
      <c r="M17" s="105"/>
      <c r="N17" s="112"/>
      <c r="O17" s="176"/>
      <c r="P17" s="177"/>
      <c r="Q17" s="177"/>
      <c r="R17" s="176"/>
      <c r="S17" s="182"/>
      <c r="T17" s="178"/>
      <c r="U17" s="9"/>
      <c r="V17" s="9"/>
    </row>
    <row r="18" spans="1:22" ht="15.75" thickBot="1" x14ac:dyDescent="0.3">
      <c r="A18" s="122">
        <v>16</v>
      </c>
      <c r="B18" s="203" t="s">
        <v>21</v>
      </c>
      <c r="C18" s="1"/>
      <c r="D18" s="32"/>
      <c r="E18" s="3"/>
      <c r="F18" s="2"/>
      <c r="G18" s="2"/>
      <c r="H18" s="185"/>
      <c r="I18" s="192"/>
      <c r="J18" s="3"/>
      <c r="K18" s="5"/>
      <c r="L18" s="4"/>
      <c r="M18" s="5"/>
      <c r="N18" s="112"/>
      <c r="O18" s="136"/>
      <c r="P18" s="7"/>
      <c r="Q18" s="7"/>
      <c r="R18" s="136"/>
      <c r="S18" s="7"/>
      <c r="T18" s="34"/>
      <c r="U18" s="9"/>
      <c r="V18" s="9"/>
    </row>
    <row r="19" spans="1:22" ht="15.75" thickBot="1" x14ac:dyDescent="0.3">
      <c r="A19" s="122">
        <v>17</v>
      </c>
      <c r="B19" s="204"/>
      <c r="C19" s="22"/>
      <c r="D19" s="41"/>
      <c r="E19" s="24"/>
      <c r="F19" s="23"/>
      <c r="G19" s="23"/>
      <c r="H19" s="180"/>
      <c r="I19" s="183"/>
      <c r="J19" s="24"/>
      <c r="K19" s="27"/>
      <c r="L19" s="25"/>
      <c r="M19" s="106"/>
      <c r="N19" s="111"/>
      <c r="O19" s="141"/>
      <c r="P19" s="29"/>
      <c r="Q19" s="29"/>
      <c r="R19" s="141"/>
      <c r="S19" s="29"/>
      <c r="T19" s="31"/>
      <c r="U19" s="9"/>
      <c r="V19" s="9"/>
    </row>
    <row r="20" spans="1:22" ht="15.75" thickBot="1" x14ac:dyDescent="0.3">
      <c r="A20" s="122">
        <v>18</v>
      </c>
      <c r="B20" s="203" t="s">
        <v>22</v>
      </c>
      <c r="C20" s="1"/>
      <c r="D20" s="2"/>
      <c r="E20" s="3"/>
      <c r="F20" s="2"/>
      <c r="G20" s="2"/>
      <c r="H20" s="190"/>
      <c r="I20" s="185"/>
      <c r="J20" s="3"/>
      <c r="K20" s="5"/>
      <c r="L20" s="4"/>
      <c r="M20" s="5"/>
      <c r="N20" s="107"/>
      <c r="O20" s="136"/>
      <c r="P20" s="7"/>
      <c r="Q20" s="7"/>
      <c r="R20" s="136"/>
      <c r="S20" s="7"/>
      <c r="T20" s="8"/>
      <c r="U20" s="9"/>
      <c r="V20" s="9"/>
    </row>
    <row r="21" spans="1:22" ht="15.75" thickBot="1" x14ac:dyDescent="0.3">
      <c r="A21" s="122">
        <v>19</v>
      </c>
      <c r="B21" s="202"/>
      <c r="C21" s="10"/>
      <c r="D21" s="18"/>
      <c r="E21" s="12"/>
      <c r="F21" s="18"/>
      <c r="G21" s="18"/>
      <c r="H21" s="170"/>
      <c r="I21" s="170"/>
      <c r="J21" s="12"/>
      <c r="K21" s="14"/>
      <c r="L21" s="13"/>
      <c r="M21" s="5"/>
      <c r="N21" s="108"/>
      <c r="O21" s="137"/>
      <c r="P21" s="16"/>
      <c r="Q21" s="16"/>
      <c r="R21" s="137"/>
      <c r="S21" s="16"/>
      <c r="T21" s="17"/>
      <c r="U21" s="9"/>
      <c r="V21" s="9"/>
    </row>
    <row r="22" spans="1:22" ht="15.75" thickBot="1" x14ac:dyDescent="0.3">
      <c r="A22" s="122">
        <v>20</v>
      </c>
      <c r="B22" s="202"/>
      <c r="C22" s="187"/>
      <c r="D22" s="18"/>
      <c r="E22" s="18"/>
      <c r="F22" s="18"/>
      <c r="G22" s="18"/>
      <c r="H22" s="170"/>
      <c r="I22" s="193"/>
      <c r="J22" s="18"/>
      <c r="K22" s="172"/>
      <c r="L22" s="92"/>
      <c r="M22" s="102"/>
      <c r="N22" s="188"/>
      <c r="O22" s="173"/>
      <c r="P22" s="174"/>
      <c r="Q22" s="174"/>
      <c r="R22" s="173"/>
      <c r="S22" s="174"/>
      <c r="T22" s="189"/>
      <c r="U22" s="9"/>
      <c r="V22" s="9"/>
    </row>
    <row r="23" spans="1:22" ht="15.75" thickBot="1" x14ac:dyDescent="0.3">
      <c r="A23" s="122">
        <v>21</v>
      </c>
      <c r="B23" s="202"/>
      <c r="C23" s="10"/>
      <c r="D23" s="42"/>
      <c r="E23" s="12"/>
      <c r="F23" s="18"/>
      <c r="G23" s="18"/>
      <c r="H23" s="170"/>
      <c r="I23" s="18"/>
      <c r="J23" s="12"/>
      <c r="K23" s="14"/>
      <c r="L23" s="43"/>
      <c r="M23" s="5"/>
      <c r="N23" s="109"/>
      <c r="O23" s="137"/>
      <c r="P23" s="16"/>
      <c r="Q23" s="16"/>
      <c r="R23" s="137"/>
      <c r="S23" s="16"/>
      <c r="T23" s="17"/>
      <c r="U23" s="9"/>
      <c r="V23" s="9"/>
    </row>
    <row r="24" spans="1:22" ht="15.75" thickBot="1" x14ac:dyDescent="0.3">
      <c r="A24" s="122">
        <v>22</v>
      </c>
      <c r="B24" s="202"/>
      <c r="C24" s="10"/>
      <c r="D24" s="42"/>
      <c r="E24" s="12"/>
      <c r="F24" s="18"/>
      <c r="G24" s="18"/>
      <c r="H24" s="170"/>
      <c r="I24" s="18"/>
      <c r="J24" s="12"/>
      <c r="K24" s="12"/>
      <c r="L24" s="43"/>
      <c r="M24" s="5"/>
      <c r="N24" s="109"/>
      <c r="O24" s="137"/>
      <c r="P24" s="16"/>
      <c r="Q24" s="16"/>
      <c r="R24" s="137"/>
      <c r="S24" s="16"/>
      <c r="T24" s="17"/>
      <c r="U24" s="9"/>
      <c r="V24" s="9"/>
    </row>
    <row r="25" spans="1:22" ht="15.75" thickBot="1" x14ac:dyDescent="0.3">
      <c r="A25" s="122">
        <v>23</v>
      </c>
      <c r="B25" s="202"/>
      <c r="C25" s="154"/>
      <c r="D25" s="91"/>
      <c r="E25" s="91"/>
      <c r="F25" s="91"/>
      <c r="G25" s="91"/>
      <c r="H25" s="92"/>
      <c r="I25" s="91"/>
      <c r="J25" s="91"/>
      <c r="K25" s="91"/>
      <c r="L25" s="155"/>
      <c r="M25" s="102"/>
      <c r="N25" s="110"/>
      <c r="O25" s="139"/>
      <c r="P25" s="140"/>
      <c r="Q25" s="140"/>
      <c r="R25" s="139"/>
      <c r="S25" s="140"/>
      <c r="T25" s="81"/>
      <c r="U25" s="9"/>
      <c r="V25" s="9"/>
    </row>
    <row r="26" spans="1:22" ht="15.75" thickBot="1" x14ac:dyDescent="0.3">
      <c r="A26" s="122">
        <v>24</v>
      </c>
      <c r="B26" s="202"/>
      <c r="C26" s="10"/>
      <c r="D26" s="42"/>
      <c r="E26" s="12"/>
      <c r="F26" s="18"/>
      <c r="G26" s="18"/>
      <c r="H26" s="170"/>
      <c r="I26" s="18"/>
      <c r="J26" s="12"/>
      <c r="K26" s="12"/>
      <c r="L26" s="43"/>
      <c r="M26" s="5"/>
      <c r="N26" s="109"/>
      <c r="O26" s="137"/>
      <c r="P26" s="16"/>
      <c r="Q26" s="16"/>
      <c r="R26" s="137"/>
      <c r="S26" s="16"/>
      <c r="T26" s="17"/>
      <c r="U26" s="9"/>
      <c r="V26" s="9"/>
    </row>
    <row r="27" spans="1:22" ht="15.75" thickBot="1" x14ac:dyDescent="0.3">
      <c r="A27" s="122">
        <v>25</v>
      </c>
      <c r="B27" s="202"/>
      <c r="C27" s="10"/>
      <c r="D27" s="42"/>
      <c r="E27" s="12"/>
      <c r="F27" s="18"/>
      <c r="G27" s="18"/>
      <c r="H27" s="170"/>
      <c r="I27" s="18"/>
      <c r="J27" s="12"/>
      <c r="K27" s="12"/>
      <c r="L27" s="43"/>
      <c r="M27" s="5"/>
      <c r="N27" s="109"/>
      <c r="O27" s="137"/>
      <c r="P27" s="16"/>
      <c r="Q27" s="16"/>
      <c r="R27" s="137"/>
      <c r="S27" s="16"/>
      <c r="T27" s="17"/>
      <c r="U27" s="9"/>
      <c r="V27" s="9"/>
    </row>
    <row r="28" spans="1:22" ht="15.75" thickBot="1" x14ac:dyDescent="0.3">
      <c r="A28" s="122">
        <v>26</v>
      </c>
      <c r="B28" s="202"/>
      <c r="C28" s="10"/>
      <c r="D28" s="42"/>
      <c r="E28" s="12"/>
      <c r="F28" s="18"/>
      <c r="G28" s="18"/>
      <c r="H28" s="170"/>
      <c r="I28" s="18"/>
      <c r="J28" s="12"/>
      <c r="K28" s="12"/>
      <c r="L28" s="43"/>
      <c r="M28" s="5"/>
      <c r="N28" s="109"/>
      <c r="O28" s="137"/>
      <c r="P28" s="16"/>
      <c r="Q28" s="16"/>
      <c r="R28" s="137"/>
      <c r="S28" s="16"/>
      <c r="T28" s="17"/>
      <c r="U28" s="9"/>
      <c r="V28" s="9"/>
    </row>
    <row r="29" spans="1:22" ht="15.75" thickBot="1" x14ac:dyDescent="0.3">
      <c r="A29" s="122">
        <v>27</v>
      </c>
      <c r="B29" s="202"/>
      <c r="C29" s="44"/>
      <c r="D29" s="11"/>
      <c r="E29" s="12"/>
      <c r="F29" s="18"/>
      <c r="G29" s="18"/>
      <c r="H29" s="170"/>
      <c r="I29" s="18"/>
      <c r="J29" s="12"/>
      <c r="K29" s="12"/>
      <c r="L29" s="43"/>
      <c r="M29" s="5"/>
      <c r="N29" s="109"/>
      <c r="O29" s="137"/>
      <c r="P29" s="16"/>
      <c r="Q29" s="16"/>
      <c r="R29" s="137"/>
      <c r="S29" s="16"/>
      <c r="T29" s="17"/>
      <c r="U29" s="9"/>
      <c r="V29" s="9"/>
    </row>
    <row r="30" spans="1:22" ht="15.75" thickBot="1" x14ac:dyDescent="0.3">
      <c r="A30" s="122">
        <v>28</v>
      </c>
      <c r="B30" s="202"/>
      <c r="C30" s="10"/>
      <c r="D30" s="42"/>
      <c r="E30" s="12"/>
      <c r="F30" s="18"/>
      <c r="G30" s="18"/>
      <c r="H30" s="170"/>
      <c r="I30" s="194"/>
      <c r="J30" s="12"/>
      <c r="K30" s="12"/>
      <c r="L30" s="43"/>
      <c r="M30" s="5"/>
      <c r="N30" s="130"/>
      <c r="O30" s="137"/>
      <c r="P30" s="16"/>
      <c r="Q30" s="16"/>
      <c r="R30" s="137"/>
      <c r="S30" s="16"/>
      <c r="T30" s="17"/>
      <c r="U30" s="9"/>
      <c r="V30" s="9"/>
    </row>
    <row r="31" spans="1:22" ht="15.75" thickBot="1" x14ac:dyDescent="0.3">
      <c r="A31" s="122">
        <v>29</v>
      </c>
      <c r="B31" s="202"/>
      <c r="C31" s="10"/>
      <c r="D31" s="18"/>
      <c r="E31" s="12"/>
      <c r="F31" s="18"/>
      <c r="G31" s="18"/>
      <c r="H31" s="170"/>
      <c r="I31" s="170"/>
      <c r="J31" s="12"/>
      <c r="K31" s="14"/>
      <c r="L31" s="13"/>
      <c r="M31" s="5"/>
      <c r="N31" s="108"/>
      <c r="O31" s="137"/>
      <c r="P31" s="16"/>
      <c r="Q31" s="16"/>
      <c r="R31" s="137"/>
      <c r="S31" s="16"/>
      <c r="T31" s="17"/>
      <c r="U31" s="9"/>
      <c r="V31" s="9"/>
    </row>
    <row r="32" spans="1:22" ht="15.75" thickBot="1" x14ac:dyDescent="0.3">
      <c r="A32" s="122">
        <v>30</v>
      </c>
      <c r="B32" s="202"/>
      <c r="C32" s="10"/>
      <c r="D32" s="11"/>
      <c r="E32" s="12"/>
      <c r="F32" s="18"/>
      <c r="G32" s="18"/>
      <c r="H32" s="170"/>
      <c r="I32" s="171"/>
      <c r="J32" s="12"/>
      <c r="K32" s="14"/>
      <c r="L32" s="13"/>
      <c r="M32" s="5"/>
      <c r="N32" s="108"/>
      <c r="O32" s="137"/>
      <c r="P32" s="16"/>
      <c r="Q32" s="16"/>
      <c r="R32" s="137"/>
      <c r="S32" s="16"/>
      <c r="T32" s="17"/>
      <c r="U32" s="9"/>
      <c r="V32" s="9"/>
    </row>
    <row r="33" spans="1:22" ht="15.75" thickBot="1" x14ac:dyDescent="0.3">
      <c r="A33" s="122">
        <v>31</v>
      </c>
      <c r="B33" s="202"/>
      <c r="C33" s="10"/>
      <c r="D33" s="18"/>
      <c r="E33" s="12"/>
      <c r="F33" s="18"/>
      <c r="G33" s="18"/>
      <c r="H33" s="170"/>
      <c r="I33" s="193"/>
      <c r="J33" s="12"/>
      <c r="K33" s="14"/>
      <c r="L33" s="13"/>
      <c r="M33" s="5"/>
      <c r="N33" s="108"/>
      <c r="O33" s="137"/>
      <c r="P33" s="16"/>
      <c r="Q33" s="16"/>
      <c r="R33" s="137"/>
      <c r="S33" s="16"/>
      <c r="T33" s="17"/>
      <c r="U33" s="9"/>
      <c r="V33" s="9"/>
    </row>
    <row r="34" spans="1:22" ht="15.75" thickBot="1" x14ac:dyDescent="0.3">
      <c r="A34" s="122">
        <v>32</v>
      </c>
      <c r="B34" s="202"/>
      <c r="C34" s="45"/>
      <c r="D34" s="11"/>
      <c r="E34" s="46"/>
      <c r="F34" s="11"/>
      <c r="G34" s="18"/>
      <c r="H34" s="170"/>
      <c r="I34" s="18"/>
      <c r="J34" s="12"/>
      <c r="K34" s="14"/>
      <c r="L34" s="13"/>
      <c r="M34" s="5"/>
      <c r="N34" s="108"/>
      <c r="O34" s="137"/>
      <c r="P34" s="16"/>
      <c r="Q34" s="16"/>
      <c r="R34" s="137"/>
      <c r="S34" s="16"/>
      <c r="T34" s="17"/>
      <c r="U34" s="9"/>
      <c r="V34" s="9"/>
    </row>
    <row r="35" spans="1:22" ht="15.75" thickBot="1" x14ac:dyDescent="0.3">
      <c r="A35" s="122">
        <v>33</v>
      </c>
      <c r="B35" s="204"/>
      <c r="C35" s="47"/>
      <c r="D35" s="48"/>
      <c r="E35" s="49"/>
      <c r="F35" s="195"/>
      <c r="G35" s="196"/>
      <c r="H35" s="197"/>
      <c r="I35" s="198"/>
      <c r="J35" s="50"/>
      <c r="K35" s="132"/>
      <c r="L35" s="131"/>
      <c r="M35" s="106"/>
      <c r="N35" s="133"/>
      <c r="O35" s="141"/>
      <c r="P35" s="29"/>
      <c r="Q35" s="29"/>
      <c r="R35" s="141"/>
      <c r="S35" s="29"/>
      <c r="T35" s="134"/>
      <c r="U35" s="9"/>
      <c r="V35" s="9"/>
    </row>
    <row r="36" spans="1:22" ht="15.75" thickBot="1" x14ac:dyDescent="0.3">
      <c r="A36" s="122">
        <v>34</v>
      </c>
      <c r="B36" s="202" t="s">
        <v>23</v>
      </c>
      <c r="C36" s="144"/>
      <c r="D36" s="145"/>
      <c r="E36" s="145"/>
      <c r="F36" s="145"/>
      <c r="G36" s="145"/>
      <c r="H36" s="146"/>
      <c r="I36" s="145"/>
      <c r="J36" s="145"/>
      <c r="K36" s="147"/>
      <c r="L36" s="146"/>
      <c r="M36" s="147"/>
      <c r="N36" s="148"/>
      <c r="O36" s="156"/>
      <c r="P36" s="103"/>
      <c r="Q36" s="149"/>
      <c r="R36" s="156"/>
      <c r="S36" s="149"/>
      <c r="T36" s="150"/>
      <c r="U36" s="9"/>
      <c r="V36" s="9"/>
    </row>
    <row r="37" spans="1:22" ht="15.75" thickBot="1" x14ac:dyDescent="0.3">
      <c r="A37" s="122">
        <v>35</v>
      </c>
      <c r="B37" s="202"/>
      <c r="C37" s="10"/>
      <c r="D37" s="12"/>
      <c r="E37" s="12"/>
      <c r="F37" s="12"/>
      <c r="G37" s="12"/>
      <c r="H37" s="51"/>
      <c r="I37" s="12"/>
      <c r="J37" s="12"/>
      <c r="K37" s="52"/>
      <c r="L37" s="13"/>
      <c r="M37" s="5"/>
      <c r="N37" s="109"/>
      <c r="O37" s="137"/>
      <c r="P37" s="157"/>
      <c r="Q37" s="16"/>
      <c r="R37" s="137"/>
      <c r="S37" s="16"/>
      <c r="T37" s="17"/>
      <c r="U37" s="9"/>
      <c r="V37" s="9"/>
    </row>
    <row r="38" spans="1:22" ht="15.75" thickBot="1" x14ac:dyDescent="0.3">
      <c r="A38" s="122">
        <v>36</v>
      </c>
      <c r="B38" s="202"/>
      <c r="C38" s="10"/>
      <c r="D38" s="12"/>
      <c r="E38" s="12"/>
      <c r="F38" s="12"/>
      <c r="G38" s="12"/>
      <c r="H38" s="51"/>
      <c r="I38" s="12"/>
      <c r="J38" s="12"/>
      <c r="K38" s="52"/>
      <c r="L38" s="13"/>
      <c r="M38" s="5"/>
      <c r="N38" s="109"/>
      <c r="O38" s="137"/>
      <c r="P38" s="16"/>
      <c r="Q38" s="16"/>
      <c r="R38" s="137"/>
      <c r="S38" s="16"/>
      <c r="T38" s="17"/>
      <c r="U38" s="9"/>
      <c r="V38" s="9"/>
    </row>
    <row r="39" spans="1:22" ht="15.75" thickBot="1" x14ac:dyDescent="0.3">
      <c r="A39" s="122">
        <v>37</v>
      </c>
      <c r="B39" s="202"/>
      <c r="C39" s="100"/>
      <c r="D39" s="91"/>
      <c r="E39" s="91"/>
      <c r="F39" s="91"/>
      <c r="G39" s="91"/>
      <c r="H39" s="92"/>
      <c r="I39" s="91"/>
      <c r="J39" s="91"/>
      <c r="K39" s="101"/>
      <c r="L39" s="92"/>
      <c r="M39" s="102"/>
      <c r="N39" s="110"/>
      <c r="O39" s="139"/>
      <c r="P39" s="140"/>
      <c r="Q39" s="140"/>
      <c r="R39" s="139"/>
      <c r="S39" s="140"/>
      <c r="T39" s="21"/>
      <c r="U39" s="9"/>
      <c r="V39" s="9"/>
    </row>
    <row r="40" spans="1:22" ht="15.75" thickBot="1" x14ac:dyDescent="0.3">
      <c r="A40" s="122">
        <v>38</v>
      </c>
      <c r="B40" s="202"/>
      <c r="C40" s="93"/>
      <c r="D40" s="94"/>
      <c r="E40" s="94"/>
      <c r="F40" s="94"/>
      <c r="G40" s="94"/>
      <c r="H40" s="158"/>
      <c r="I40" s="42"/>
      <c r="J40" s="42"/>
      <c r="K40" s="52"/>
      <c r="L40" s="13"/>
      <c r="M40" s="5"/>
      <c r="N40" s="109"/>
      <c r="O40" s="137"/>
      <c r="P40" s="16"/>
      <c r="Q40" s="16"/>
      <c r="R40" s="137"/>
      <c r="S40" s="16"/>
      <c r="T40" s="54"/>
      <c r="U40" s="9"/>
      <c r="V40" s="9"/>
    </row>
    <row r="41" spans="1:22" ht="15.75" thickBot="1" x14ac:dyDescent="0.3">
      <c r="A41" s="122">
        <v>39</v>
      </c>
      <c r="B41" s="202"/>
      <c r="C41" s="53"/>
      <c r="D41" s="11"/>
      <c r="E41" s="11"/>
      <c r="F41" s="11"/>
      <c r="G41" s="12"/>
      <c r="H41" s="51"/>
      <c r="I41" s="12"/>
      <c r="J41" s="12"/>
      <c r="K41" s="52"/>
      <c r="L41" s="13"/>
      <c r="M41" s="5"/>
      <c r="N41" s="109"/>
      <c r="O41" s="137"/>
      <c r="P41" s="16"/>
      <c r="Q41" s="16"/>
      <c r="R41" s="137"/>
      <c r="S41" s="16"/>
      <c r="T41" s="55"/>
      <c r="U41" s="9"/>
      <c r="V41" s="9"/>
    </row>
    <row r="42" spans="1:22" ht="15.75" thickBot="1" x14ac:dyDescent="0.3">
      <c r="A42" s="122">
        <v>40</v>
      </c>
      <c r="B42" s="202"/>
      <c r="C42" s="10"/>
      <c r="D42" s="12"/>
      <c r="E42" s="12"/>
      <c r="F42" s="12"/>
      <c r="G42" s="12"/>
      <c r="H42" s="51"/>
      <c r="I42" s="12"/>
      <c r="J42" s="12"/>
      <c r="K42" s="52"/>
      <c r="L42" s="13"/>
      <c r="M42" s="5"/>
      <c r="N42" s="109"/>
      <c r="O42" s="137"/>
      <c r="P42" s="16"/>
      <c r="Q42" s="16"/>
      <c r="R42" s="137"/>
      <c r="S42" s="16"/>
      <c r="T42" s="17"/>
      <c r="U42" s="9"/>
      <c r="V42" s="9"/>
    </row>
    <row r="43" spans="1:22" ht="15.75" thickBot="1" x14ac:dyDescent="0.3">
      <c r="A43" s="122">
        <v>41</v>
      </c>
      <c r="B43" s="203" t="s">
        <v>24</v>
      </c>
      <c r="C43" s="36"/>
      <c r="D43" s="32"/>
      <c r="E43" s="2"/>
      <c r="F43" s="32"/>
      <c r="G43" s="37"/>
      <c r="H43" s="56"/>
      <c r="I43" s="57"/>
      <c r="J43" s="57"/>
      <c r="K43" s="58"/>
      <c r="L43" s="59"/>
      <c r="M43" s="5"/>
      <c r="N43" s="113"/>
      <c r="O43" s="136"/>
      <c r="P43" s="7"/>
      <c r="Q43" s="7"/>
      <c r="R43" s="136"/>
      <c r="S43" s="7"/>
      <c r="T43" s="60"/>
      <c r="U43" s="9"/>
      <c r="V43" s="9"/>
    </row>
    <row r="44" spans="1:22" ht="15.75" thickBot="1" x14ac:dyDescent="0.3">
      <c r="A44" s="122">
        <v>42</v>
      </c>
      <c r="B44" s="202"/>
      <c r="C44" s="53"/>
      <c r="D44" s="11"/>
      <c r="E44" s="18"/>
      <c r="F44" s="11"/>
      <c r="G44" s="46"/>
      <c r="H44" s="51"/>
      <c r="I44" s="12"/>
      <c r="J44" s="12"/>
      <c r="K44" s="52"/>
      <c r="L44" s="13"/>
      <c r="M44" s="5"/>
      <c r="N44" s="109"/>
      <c r="O44" s="137"/>
      <c r="P44" s="16"/>
      <c r="Q44" s="16"/>
      <c r="R44" s="137"/>
      <c r="S44" s="16"/>
      <c r="T44" s="17"/>
      <c r="U44" s="9"/>
      <c r="V44" s="9"/>
    </row>
    <row r="45" spans="1:22" ht="15.75" thickBot="1" x14ac:dyDescent="0.3">
      <c r="A45" s="122">
        <v>43</v>
      </c>
      <c r="B45" s="202"/>
      <c r="C45" s="61"/>
      <c r="D45" s="62"/>
      <c r="E45" s="62"/>
      <c r="F45" s="62"/>
      <c r="G45" s="62"/>
      <c r="H45" s="63"/>
      <c r="I45" s="62"/>
      <c r="J45" s="62"/>
      <c r="K45" s="64"/>
      <c r="L45" s="65"/>
      <c r="M45" s="5"/>
      <c r="N45" s="114"/>
      <c r="O45" s="137"/>
      <c r="P45" s="16"/>
      <c r="Q45" s="16"/>
      <c r="R45" s="137"/>
      <c r="S45" s="16"/>
      <c r="T45" s="66"/>
      <c r="U45" s="9"/>
      <c r="V45" s="9"/>
    </row>
    <row r="46" spans="1:22" ht="15.75" thickBot="1" x14ac:dyDescent="0.3">
      <c r="A46" s="122">
        <v>44</v>
      </c>
      <c r="B46" s="202"/>
      <c r="C46" s="10"/>
      <c r="D46" s="12"/>
      <c r="E46" s="12"/>
      <c r="F46" s="12"/>
      <c r="G46" s="12"/>
      <c r="H46" s="13"/>
      <c r="I46" s="12"/>
      <c r="J46" s="12"/>
      <c r="K46" s="14"/>
      <c r="L46" s="13"/>
      <c r="M46" s="5"/>
      <c r="N46" s="108"/>
      <c r="O46" s="137"/>
      <c r="P46" s="16"/>
      <c r="Q46" s="16"/>
      <c r="R46" s="138"/>
      <c r="S46" s="16"/>
      <c r="T46" s="17"/>
      <c r="U46" s="9"/>
      <c r="V46" s="9"/>
    </row>
    <row r="47" spans="1:22" ht="15.75" thickBot="1" x14ac:dyDescent="0.3">
      <c r="A47" s="122">
        <v>45</v>
      </c>
      <c r="B47" s="202"/>
      <c r="C47" s="10"/>
      <c r="D47" s="12"/>
      <c r="E47" s="12"/>
      <c r="F47" s="12"/>
      <c r="G47" s="12"/>
      <c r="H47" s="35"/>
      <c r="I47" s="12"/>
      <c r="J47" s="12"/>
      <c r="K47" s="14"/>
      <c r="L47" s="13"/>
      <c r="M47" s="5"/>
      <c r="N47" s="108"/>
      <c r="O47" s="137"/>
      <c r="P47" s="16"/>
      <c r="Q47" s="16"/>
      <c r="R47" s="137"/>
      <c r="S47" s="16"/>
      <c r="T47" s="55"/>
      <c r="U47" s="9"/>
      <c r="V47" s="9"/>
    </row>
    <row r="48" spans="1:22" ht="15.75" thickBot="1" x14ac:dyDescent="0.3">
      <c r="A48" s="122">
        <v>46</v>
      </c>
      <c r="B48" s="202"/>
      <c r="C48" s="10"/>
      <c r="D48" s="12"/>
      <c r="E48" s="12"/>
      <c r="F48" s="12"/>
      <c r="G48" s="12"/>
      <c r="H48" s="12"/>
      <c r="I48" s="12"/>
      <c r="J48" s="12"/>
      <c r="K48" s="12"/>
      <c r="L48" s="13"/>
      <c r="M48" s="5"/>
      <c r="N48" s="108"/>
      <c r="O48" s="142"/>
      <c r="P48" s="143"/>
      <c r="Q48" s="143"/>
      <c r="R48" s="142"/>
      <c r="S48" s="16"/>
      <c r="T48" s="17"/>
      <c r="U48" s="9"/>
      <c r="V48" s="9"/>
    </row>
    <row r="49" spans="1:22" ht="15.75" thickBot="1" x14ac:dyDescent="0.3">
      <c r="A49" s="122">
        <v>47</v>
      </c>
      <c r="B49" s="202"/>
      <c r="C49" s="10"/>
      <c r="D49" s="12"/>
      <c r="E49" s="12"/>
      <c r="F49" s="12"/>
      <c r="G49" s="12"/>
      <c r="H49" s="13"/>
      <c r="I49" s="19"/>
      <c r="J49" s="12"/>
      <c r="K49" s="14"/>
      <c r="L49" s="13"/>
      <c r="M49" s="5"/>
      <c r="N49" s="108"/>
      <c r="O49" s="142"/>
      <c r="P49" s="143"/>
      <c r="Q49" s="143"/>
      <c r="R49" s="142"/>
      <c r="S49" s="16"/>
      <c r="T49" s="17"/>
      <c r="U49" s="9"/>
      <c r="V49" s="9"/>
    </row>
    <row r="50" spans="1:22" ht="15.75" thickBot="1" x14ac:dyDescent="0.3">
      <c r="A50" s="122">
        <v>48</v>
      </c>
      <c r="B50" s="202"/>
      <c r="C50" s="10"/>
      <c r="D50" s="12"/>
      <c r="E50" s="12"/>
      <c r="F50" s="12"/>
      <c r="G50" s="12"/>
      <c r="H50" s="35"/>
      <c r="I50" s="35"/>
      <c r="J50" s="12"/>
      <c r="K50" s="14"/>
      <c r="L50" s="13"/>
      <c r="M50" s="5"/>
      <c r="N50" s="108"/>
      <c r="O50" s="137"/>
      <c r="P50" s="16"/>
      <c r="Q50" s="16"/>
      <c r="R50" s="137"/>
      <c r="S50" s="16"/>
      <c r="T50" s="17"/>
      <c r="U50" s="9"/>
      <c r="V50" s="9"/>
    </row>
    <row r="51" spans="1:22" ht="15.75" thickBot="1" x14ac:dyDescent="0.3">
      <c r="A51" s="122">
        <v>49</v>
      </c>
      <c r="B51" s="202"/>
      <c r="C51" s="10"/>
      <c r="D51" s="11"/>
      <c r="E51" s="12"/>
      <c r="F51" s="13"/>
      <c r="G51" s="163"/>
      <c r="H51" s="13"/>
      <c r="I51" s="13"/>
      <c r="J51" s="12"/>
      <c r="K51" s="14"/>
      <c r="L51" s="13"/>
      <c r="M51" s="5"/>
      <c r="N51" s="108"/>
      <c r="O51" s="137"/>
      <c r="P51" s="16"/>
      <c r="Q51" s="16"/>
      <c r="R51" s="138"/>
      <c r="S51" s="16"/>
      <c r="T51" s="55"/>
      <c r="U51" s="9"/>
      <c r="V51" s="9"/>
    </row>
    <row r="52" spans="1:22" ht="15.75" thickBot="1" x14ac:dyDescent="0.3">
      <c r="A52" s="122">
        <v>50</v>
      </c>
      <c r="B52" s="202"/>
      <c r="C52" s="164"/>
      <c r="D52" s="12"/>
      <c r="E52" s="12"/>
      <c r="F52" s="12"/>
      <c r="G52" s="12"/>
      <c r="H52" s="162"/>
      <c r="I52" s="12"/>
      <c r="J52" s="12"/>
      <c r="K52" s="52"/>
      <c r="L52" s="13"/>
      <c r="M52" s="5"/>
      <c r="N52" s="159"/>
      <c r="O52" s="160"/>
      <c r="P52" s="16"/>
      <c r="Q52" s="161"/>
      <c r="R52" s="161"/>
      <c r="S52" s="16"/>
      <c r="T52" s="17"/>
      <c r="U52" s="9"/>
      <c r="V52" s="9"/>
    </row>
    <row r="53" spans="1:22" ht="15.75" thickBot="1" x14ac:dyDescent="0.3">
      <c r="A53" s="122">
        <v>51</v>
      </c>
      <c r="B53" s="202"/>
      <c r="C53" s="10"/>
      <c r="D53" s="12"/>
      <c r="E53" s="12"/>
      <c r="F53" s="12"/>
      <c r="G53" s="12"/>
      <c r="H53" s="51"/>
      <c r="I53" s="12"/>
      <c r="J53" s="12"/>
      <c r="K53" s="52"/>
      <c r="L53" s="13"/>
      <c r="M53" s="5"/>
      <c r="N53" s="115"/>
      <c r="O53" s="138"/>
      <c r="P53" s="16"/>
      <c r="Q53" s="16"/>
      <c r="R53" s="138"/>
      <c r="S53" s="16"/>
      <c r="T53" s="17"/>
      <c r="U53" s="9"/>
      <c r="V53" s="9"/>
    </row>
    <row r="54" spans="1:22" ht="15.75" thickBot="1" x14ac:dyDescent="0.3">
      <c r="A54" s="122">
        <v>52</v>
      </c>
      <c r="B54" s="202"/>
      <c r="C54" s="67"/>
      <c r="D54" s="68"/>
      <c r="E54" s="68"/>
      <c r="F54" s="69"/>
      <c r="G54" s="70"/>
      <c r="H54" s="70"/>
      <c r="I54" s="70"/>
      <c r="J54" s="70"/>
      <c r="K54" s="70"/>
      <c r="L54" s="71"/>
      <c r="M54" s="71"/>
      <c r="N54" s="116"/>
      <c r="O54" s="72"/>
      <c r="P54" s="72"/>
      <c r="Q54" s="72"/>
      <c r="R54" s="72"/>
      <c r="S54" s="72"/>
      <c r="T54" s="73"/>
      <c r="U54" s="9"/>
      <c r="V54" s="9"/>
    </row>
    <row r="55" spans="1:22" ht="15.75" thickBot="1" x14ac:dyDescent="0.3">
      <c r="A55" s="122">
        <v>53</v>
      </c>
      <c r="B55" s="204"/>
      <c r="C55" s="74"/>
      <c r="D55" s="75"/>
      <c r="E55" s="75"/>
      <c r="F55" s="76"/>
      <c r="G55" s="77"/>
      <c r="H55" s="78"/>
      <c r="I55" s="78"/>
      <c r="J55" s="78"/>
      <c r="K55" s="78"/>
      <c r="L55" s="79"/>
      <c r="M55" s="79"/>
      <c r="N55" s="117"/>
      <c r="O55" s="135"/>
      <c r="P55" s="135"/>
      <c r="Q55" s="135"/>
      <c r="R55" s="135"/>
      <c r="S55" s="135"/>
      <c r="T55" s="80"/>
      <c r="U55" s="9"/>
      <c r="V55" s="9"/>
    </row>
    <row r="56" spans="1:22" ht="15.75" thickBot="1" x14ac:dyDescent="0.3">
      <c r="A56" s="122">
        <v>54</v>
      </c>
      <c r="B56" s="205" t="s">
        <v>25</v>
      </c>
      <c r="C56" s="1"/>
      <c r="D56" s="33"/>
      <c r="E56" s="3"/>
      <c r="F56" s="3"/>
      <c r="G56" s="3"/>
      <c r="H56" s="33"/>
      <c r="I56" s="3"/>
      <c r="J56" s="3"/>
      <c r="K56" s="3"/>
      <c r="L56" s="4"/>
      <c r="M56" s="5"/>
      <c r="N56" s="118"/>
      <c r="O56" s="7"/>
      <c r="P56" s="7"/>
      <c r="Q56" s="7"/>
      <c r="R56" s="7"/>
      <c r="S56" s="7"/>
      <c r="T56" s="8"/>
      <c r="U56" s="9"/>
      <c r="V56" s="9"/>
    </row>
    <row r="57" spans="1:22" ht="15.75" thickBot="1" x14ac:dyDescent="0.3">
      <c r="A57" s="122">
        <v>55</v>
      </c>
      <c r="B57" s="206"/>
      <c r="C57" s="10"/>
      <c r="D57" s="19"/>
      <c r="E57" s="12"/>
      <c r="F57" s="12"/>
      <c r="G57" s="19"/>
      <c r="H57" s="19"/>
      <c r="I57" s="12"/>
      <c r="J57" s="12"/>
      <c r="K57" s="12"/>
      <c r="L57" s="13"/>
      <c r="M57" s="5"/>
      <c r="N57" s="115"/>
      <c r="O57" s="16"/>
      <c r="P57" s="16"/>
      <c r="Q57" s="16"/>
      <c r="R57" s="16"/>
      <c r="S57" s="16"/>
      <c r="T57" s="81"/>
      <c r="U57" s="9"/>
      <c r="V57" s="9"/>
    </row>
    <row r="58" spans="1:22" ht="15.75" thickBot="1" x14ac:dyDescent="0.3">
      <c r="A58" s="122">
        <v>56</v>
      </c>
      <c r="B58" s="206"/>
      <c r="C58" s="10"/>
      <c r="D58" s="19"/>
      <c r="E58" s="12"/>
      <c r="F58" s="12"/>
      <c r="G58" s="19"/>
      <c r="H58" s="19"/>
      <c r="I58" s="12"/>
      <c r="J58" s="12"/>
      <c r="K58" s="12"/>
      <c r="L58" s="13"/>
      <c r="M58" s="5"/>
      <c r="N58" s="115"/>
      <c r="O58" s="137"/>
      <c r="P58" s="16"/>
      <c r="Q58" s="16"/>
      <c r="R58" s="137"/>
      <c r="S58" s="16"/>
      <c r="T58" s="17"/>
      <c r="U58" s="9"/>
      <c r="V58" s="9"/>
    </row>
    <row r="59" spans="1:22" ht="15.75" thickBot="1" x14ac:dyDescent="0.3">
      <c r="A59" s="122">
        <v>57</v>
      </c>
      <c r="B59" s="206"/>
      <c r="C59" s="82"/>
      <c r="D59" s="19"/>
      <c r="E59" s="51"/>
      <c r="F59" s="19"/>
      <c r="G59" s="19"/>
      <c r="H59" s="19"/>
      <c r="I59" s="12"/>
      <c r="J59" s="12"/>
      <c r="K59" s="12"/>
      <c r="L59" s="13"/>
      <c r="M59" s="5"/>
      <c r="N59" s="115"/>
      <c r="O59" s="16"/>
      <c r="P59" s="16"/>
      <c r="Q59" s="16"/>
      <c r="R59" s="16"/>
      <c r="S59" s="16"/>
      <c r="T59" s="17"/>
      <c r="U59" s="9"/>
      <c r="V59" s="9"/>
    </row>
    <row r="60" spans="1:22" ht="15.75" thickBot="1" x14ac:dyDescent="0.3">
      <c r="A60" s="122">
        <v>58</v>
      </c>
      <c r="B60" s="206"/>
      <c r="C60" s="82"/>
      <c r="D60" s="19"/>
      <c r="E60" s="51"/>
      <c r="F60" s="19"/>
      <c r="G60" s="19"/>
      <c r="H60" s="19"/>
      <c r="I60" s="12"/>
      <c r="J60" s="12"/>
      <c r="K60" s="12"/>
      <c r="L60" s="13"/>
      <c r="M60" s="5"/>
      <c r="N60" s="115"/>
      <c r="O60" s="140"/>
      <c r="P60" s="140"/>
      <c r="Q60" s="140"/>
      <c r="R60" s="140"/>
      <c r="S60" s="140"/>
      <c r="T60" s="81"/>
      <c r="U60" s="9"/>
      <c r="V60" s="9"/>
    </row>
    <row r="61" spans="1:22" ht="15.75" thickBot="1" x14ac:dyDescent="0.3">
      <c r="A61" s="122">
        <v>59</v>
      </c>
      <c r="B61" s="207"/>
      <c r="C61" s="83"/>
      <c r="D61" s="26"/>
      <c r="E61" s="40"/>
      <c r="F61" s="26"/>
      <c r="G61" s="26"/>
      <c r="H61" s="26"/>
      <c r="I61" s="24"/>
      <c r="J61" s="24"/>
      <c r="K61" s="24"/>
      <c r="L61" s="25"/>
      <c r="M61" s="106"/>
      <c r="N61" s="119"/>
      <c r="O61" s="29"/>
      <c r="P61" s="129"/>
      <c r="Q61" s="30"/>
      <c r="R61" s="29"/>
      <c r="S61" s="30"/>
      <c r="T61" s="84"/>
      <c r="U61" s="9"/>
      <c r="V61" s="9"/>
    </row>
    <row r="62" spans="1:22" ht="15.75" thickBot="1" x14ac:dyDescent="0.3">
      <c r="H62" s="95"/>
      <c r="I62" s="95"/>
      <c r="J62" s="95"/>
      <c r="K62" s="95"/>
      <c r="L62" s="208" t="s">
        <v>26</v>
      </c>
      <c r="M62" s="208"/>
      <c r="N62" s="208"/>
      <c r="O62" s="208"/>
      <c r="P62" s="99"/>
      <c r="Q62" s="99">
        <f>SUM(Q3:Q53)</f>
        <v>0</v>
      </c>
      <c r="R62" s="99"/>
      <c r="S62" s="86">
        <f>SUM(S3:S51)</f>
        <v>0</v>
      </c>
      <c r="T62" s="95"/>
    </row>
    <row r="63" spans="1:22" x14ac:dyDescent="0.25">
      <c r="H63" s="95"/>
      <c r="I63" s="95"/>
      <c r="J63" s="97"/>
      <c r="K63" s="95"/>
      <c r="L63" s="199" t="s">
        <v>27</v>
      </c>
      <c r="M63" s="199"/>
      <c r="N63" s="199"/>
      <c r="O63" s="199"/>
      <c r="P63" s="86">
        <f>SUM(P3:P51)</f>
        <v>0</v>
      </c>
      <c r="Q63" s="86"/>
      <c r="R63" s="96"/>
      <c r="S63" s="98">
        <f>S62/5</f>
        <v>0</v>
      </c>
      <c r="T63" s="95"/>
    </row>
    <row r="64" spans="1:22" x14ac:dyDescent="0.25">
      <c r="I64" s="88"/>
      <c r="J64" s="88"/>
    </row>
    <row r="65" spans="9:10" x14ac:dyDescent="0.25">
      <c r="J65" s="87"/>
    </row>
    <row r="66" spans="9:10" x14ac:dyDescent="0.25">
      <c r="I66" s="88"/>
      <c r="J66" s="88"/>
    </row>
  </sheetData>
  <mergeCells count="11">
    <mergeCell ref="L63:O63"/>
    <mergeCell ref="A1:T1"/>
    <mergeCell ref="B36:B42"/>
    <mergeCell ref="B43:B55"/>
    <mergeCell ref="B56:B61"/>
    <mergeCell ref="L62:O62"/>
    <mergeCell ref="B20:B35"/>
    <mergeCell ref="B3:B12"/>
    <mergeCell ref="B13:B15"/>
    <mergeCell ref="B16:B17"/>
    <mergeCell ref="B18:B19"/>
  </mergeCells>
  <conditionalFormatting sqref="L55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5">
    <cfRule type="dataBar" priority="3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{F93C577B-695B-4BE9-A4D2-BD6AA8A6912D}</x14:id>
        </ext>
      </extLst>
    </cfRule>
  </conditionalFormatting>
  <conditionalFormatting sqref="P63:S63">
    <cfRule type="dataBar" priority="3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{23C19627-CC72-4F8E-BAD3-5ABFD29CE306}</x14:id>
        </ext>
      </extLst>
    </cfRule>
  </conditionalFormatting>
  <conditionalFormatting sqref="T47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{E93E5041-7595-4B70-A4DE-203BDFD45186}</x14:id>
        </ext>
      </extLst>
    </cfRule>
  </conditionalFormatting>
  <conditionalFormatting sqref="T41">
    <cfRule type="dataBar" priority="2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{301945FE-B701-4118-A9C3-5DA9DF529466}</x14:id>
        </ext>
      </extLst>
    </cfRule>
  </conditionalFormatting>
  <conditionalFormatting sqref="T18">
    <cfRule type="dataBar" priority="2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{C4FABE8D-C538-4F8C-AF3D-D761B6945538}</x14:id>
        </ext>
      </extLst>
    </cfRule>
  </conditionalFormatting>
  <conditionalFormatting sqref="T13">
    <cfRule type="dataBar" priority="2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{95C28DBC-1CBC-4CC5-8B31-E70202137348}</x14:id>
        </ext>
      </extLst>
    </cfRule>
  </conditionalFormatting>
  <conditionalFormatting sqref="N3:N5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{D0D7514C-12FE-4A4F-8D11-1841726592C8}</x14:id>
        </ext>
      </extLst>
    </cfRule>
  </conditionalFormatting>
  <conditionalFormatting sqref="N45:N51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{A402283A-49C9-49C3-9204-C80C4705ACAA}</x14:id>
        </ext>
      </extLst>
    </cfRule>
  </conditionalFormatting>
  <conditionalFormatting sqref="N20:N22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{F0B90621-6DA6-4516-A516-05C42ACBDF1D}</x14:id>
        </ext>
      </extLst>
    </cfRule>
  </conditionalFormatting>
  <conditionalFormatting sqref="N31:N35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{3534E561-107E-40A4-8165-E983FF420B68}</x14:id>
        </ext>
      </extLst>
    </cfRule>
  </conditionalFormatting>
  <conditionalFormatting sqref="T51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{7D9785A5-B7CB-4186-8A59-C6DD0A9D39F0}</x14:id>
        </ext>
      </extLst>
    </cfRule>
  </conditionalFormatting>
  <conditionalFormatting sqref="L3:L1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3:L53 L55 M3:M53 M55:M61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6:Q61 P3:Q51 P53:Q53 P52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{CC5A7198-6EFD-4BBD-B2B4-FEA92BA29842}</x14:id>
        </ext>
      </extLst>
    </cfRule>
  </conditionalFormatting>
  <conditionalFormatting sqref="S56:S61 S3:S53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{C84B8479-0C38-4E8A-A10C-CE0A75F3F79C}</x14:id>
        </ext>
      </extLst>
    </cfRule>
  </conditionalFormatting>
  <conditionalFormatting sqref="L5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4">
    <cfRule type="dataBar" priority="1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{D04D7BD4-38E1-4065-946C-267B61C3BCE3}</x14:id>
        </ext>
      </extLst>
    </cfRule>
  </conditionalFormatting>
  <conditionalFormatting sqref="L5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8:L5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60:L6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3C577B-695B-4BE9-A4D2-BD6AA8A6912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T55</xm:sqref>
        </x14:conditionalFormatting>
        <x14:conditionalFormatting xmlns:xm="http://schemas.microsoft.com/office/excel/2006/main">
          <x14:cfRule type="dataBar" id="{23C19627-CC72-4F8E-BAD3-5ABFD29CE30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P63:S63</xm:sqref>
        </x14:conditionalFormatting>
        <x14:conditionalFormatting xmlns:xm="http://schemas.microsoft.com/office/excel/2006/main">
          <x14:cfRule type="dataBar" id="{E93E5041-7595-4B70-A4DE-203BDFD4518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T47</xm:sqref>
        </x14:conditionalFormatting>
        <x14:conditionalFormatting xmlns:xm="http://schemas.microsoft.com/office/excel/2006/main">
          <x14:cfRule type="dataBar" id="{301945FE-B701-4118-A9C3-5DA9DF52946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T41</xm:sqref>
        </x14:conditionalFormatting>
        <x14:conditionalFormatting xmlns:xm="http://schemas.microsoft.com/office/excel/2006/main">
          <x14:cfRule type="dataBar" id="{C4FABE8D-C538-4F8C-AF3D-D761B694553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T18</xm:sqref>
        </x14:conditionalFormatting>
        <x14:conditionalFormatting xmlns:xm="http://schemas.microsoft.com/office/excel/2006/main">
          <x14:cfRule type="dataBar" id="{95C28DBC-1CBC-4CC5-8B31-E7020213734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T13</xm:sqref>
        </x14:conditionalFormatting>
        <x14:conditionalFormatting xmlns:xm="http://schemas.microsoft.com/office/excel/2006/main">
          <x14:cfRule type="dataBar" id="{D0D7514C-12FE-4A4F-8D11-1841726592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A402283A-49C9-49C3-9204-C80C4705ACA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N45:N51</xm:sqref>
        </x14:conditionalFormatting>
        <x14:conditionalFormatting xmlns:xm="http://schemas.microsoft.com/office/excel/2006/main">
          <x14:cfRule type="dataBar" id="{F0B90621-6DA6-4516-A516-05C42ACBDF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N20:N22</xm:sqref>
        </x14:conditionalFormatting>
        <x14:conditionalFormatting xmlns:xm="http://schemas.microsoft.com/office/excel/2006/main">
          <x14:cfRule type="dataBar" id="{3534E561-107E-40A4-8165-E983FF420B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N31:N35</xm:sqref>
        </x14:conditionalFormatting>
        <x14:conditionalFormatting xmlns:xm="http://schemas.microsoft.com/office/excel/2006/main">
          <x14:cfRule type="dataBar" id="{7D9785A5-B7CB-4186-8A59-C6DD0A9D39F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T51</xm:sqref>
        </x14:conditionalFormatting>
        <x14:conditionalFormatting xmlns:xm="http://schemas.microsoft.com/office/excel/2006/main">
          <x14:cfRule type="dataBar" id="{CC5A7198-6EFD-4BBD-B2B4-FEA92BA298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P56:Q61 P3:Q51 P53:Q53 P52</xm:sqref>
        </x14:conditionalFormatting>
        <x14:conditionalFormatting xmlns:xm="http://schemas.microsoft.com/office/excel/2006/main">
          <x14:cfRule type="dataBar" id="{C84B8479-0C38-4E8A-A10C-CE0A75F3F7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S56:S61 S3:S53</xm:sqref>
        </x14:conditionalFormatting>
        <x14:conditionalFormatting xmlns:xm="http://schemas.microsoft.com/office/excel/2006/main">
          <x14:cfRule type="dataBar" id="{D04D7BD4-38E1-4065-946C-267B61C3BCE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2021-06-08T13:45:48Z</dcterms:created>
  <dcterms:modified xsi:type="dcterms:W3CDTF">2021-10-15T16:21:57Z</dcterms:modified>
</cp:coreProperties>
</file>