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\SaleemD-CustomProduct\Deliverables\BOM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LCSC">Sheet1!$N$20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0" i="1" l="1"/>
  <c r="Q13" i="1"/>
  <c r="Q41" i="1"/>
  <c r="M4" i="1"/>
  <c r="S4" i="1"/>
  <c r="M5" i="1"/>
  <c r="S5" i="1"/>
  <c r="M6" i="1"/>
  <c r="S6" i="1"/>
  <c r="M7" i="1"/>
  <c r="S7" i="1"/>
  <c r="M8" i="1"/>
  <c r="S8" i="1"/>
  <c r="M9" i="1"/>
  <c r="S9" i="1"/>
  <c r="M10" i="1"/>
  <c r="S10" i="1"/>
  <c r="M11" i="1"/>
  <c r="S11" i="1"/>
  <c r="M12" i="1"/>
  <c r="S12" i="1"/>
  <c r="M13" i="1"/>
  <c r="S13" i="1"/>
  <c r="M14" i="1"/>
  <c r="S14" i="1"/>
  <c r="M15" i="1"/>
  <c r="S15" i="1"/>
  <c r="M16" i="1"/>
  <c r="S16" i="1"/>
  <c r="M17" i="1"/>
  <c r="S17" i="1"/>
  <c r="M18" i="1"/>
  <c r="S18" i="1"/>
  <c r="M19" i="1"/>
  <c r="S19" i="1"/>
  <c r="M20" i="1"/>
  <c r="S20" i="1"/>
  <c r="M21" i="1"/>
  <c r="S21" i="1"/>
  <c r="M22" i="1"/>
  <c r="S22" i="1"/>
  <c r="M23" i="1"/>
  <c r="S23" i="1"/>
  <c r="M24" i="1"/>
  <c r="S24" i="1"/>
  <c r="M25" i="1"/>
  <c r="S25" i="1"/>
  <c r="M26" i="1"/>
  <c r="S26" i="1"/>
  <c r="M27" i="1"/>
  <c r="S27" i="1"/>
  <c r="M28" i="1"/>
  <c r="S28" i="1"/>
  <c r="M29" i="1"/>
  <c r="S29" i="1"/>
  <c r="M30" i="1"/>
  <c r="S30" i="1"/>
  <c r="M31" i="1"/>
  <c r="S31" i="1"/>
  <c r="M32" i="1"/>
  <c r="S32" i="1"/>
  <c r="M33" i="1"/>
  <c r="S33" i="1"/>
  <c r="M34" i="1"/>
  <c r="S34" i="1"/>
  <c r="M35" i="1"/>
  <c r="S35" i="1"/>
  <c r="M36" i="1"/>
  <c r="S36" i="1"/>
  <c r="M37" i="1"/>
  <c r="S37" i="1"/>
  <c r="M38" i="1"/>
  <c r="S38" i="1"/>
  <c r="M39" i="1"/>
  <c r="S39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Q4" i="1"/>
  <c r="Q5" i="1"/>
  <c r="Q6" i="1"/>
  <c r="Q7" i="1"/>
  <c r="Q8" i="1"/>
  <c r="Q9" i="1"/>
  <c r="Q10" i="1"/>
  <c r="Q12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P3" i="1"/>
  <c r="M3" i="1"/>
  <c r="S3" i="1"/>
  <c r="Q3" i="1"/>
  <c r="P41" i="1"/>
  <c r="S40" i="1"/>
  <c r="S41" i="1"/>
</calcChain>
</file>

<file path=xl/sharedStrings.xml><?xml version="1.0" encoding="utf-8"?>
<sst xmlns="http://schemas.openxmlformats.org/spreadsheetml/2006/main" count="361" uniqueCount="242">
  <si>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</si>
  <si>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</si>
  <si>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</si>
  <si>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</si>
  <si>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</si>
  <si>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</si>
  <si>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</si>
  <si>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</si>
  <si>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</si>
  <si>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</si>
  <si>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</si>
  <si>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</si>
  <si>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Quantity 5</t>
  </si>
  <si>
    <t>Unit Cost(1)</t>
  </si>
  <si>
    <t>Total Cost(1)</t>
  </si>
  <si>
    <t>Unit Cost (5 Boards)</t>
  </si>
  <si>
    <t>Total Cost (5)</t>
  </si>
  <si>
    <t>Remarks</t>
  </si>
  <si>
    <t>Capacitor</t>
  </si>
  <si>
    <t>Diode</t>
  </si>
  <si>
    <t>Inductor</t>
  </si>
  <si>
    <t>Mosfet</t>
  </si>
  <si>
    <t>Resistor</t>
  </si>
  <si>
    <t>Ics</t>
  </si>
  <si>
    <t>Connector</t>
  </si>
  <si>
    <t xml:space="preserve">Total Component Cost </t>
  </si>
  <si>
    <t>Single Board Cost</t>
  </si>
  <si>
    <t>Link</t>
  </si>
  <si>
    <t>MOQ Total</t>
  </si>
  <si>
    <t>CAP CER 10UF 35V X5R 0603</t>
  </si>
  <si>
    <t>C1</t>
  </si>
  <si>
    <t>Cap0603</t>
  </si>
  <si>
    <t>GRM188R6YA106MA73D</t>
  </si>
  <si>
    <t xml:space="preserve">Murata </t>
  </si>
  <si>
    <t>CAP CER 47uF 25V 1210</t>
  </si>
  <si>
    <t>C2</t>
  </si>
  <si>
    <t>Cap1210</t>
  </si>
  <si>
    <t>TMK325ABJ476MM-P</t>
  </si>
  <si>
    <t xml:space="preserve">Taiyo </t>
  </si>
  <si>
    <t>CAP CER 8.2nF 50V X7R 10% 0603</t>
  </si>
  <si>
    <t>C3</t>
  </si>
  <si>
    <t>CC0603KRX7R9BB822</t>
  </si>
  <si>
    <t>YAGEO</t>
  </si>
  <si>
    <t>CAP CER 10000PF 50V X7R 0603</t>
  </si>
  <si>
    <t>C4, C17</t>
  </si>
  <si>
    <t>CC0603KRX7R9BB103</t>
  </si>
  <si>
    <t>CAP CER 0.1UF 100V X7R 0603</t>
  </si>
  <si>
    <t>C5, C6, C7, C10, C12, C13, C14, C18, C25, C27, C29, C31, C33, C34</t>
  </si>
  <si>
    <t>CC0603KRX7R0BB104</t>
  </si>
  <si>
    <t>CAP ALUM 10uF 25V SMD</t>
  </si>
  <si>
    <t>C8, C9</t>
  </si>
  <si>
    <t>Custom</t>
  </si>
  <si>
    <t>RVT1E100M0405</t>
  </si>
  <si>
    <t xml:space="preserve">ROQANG </t>
  </si>
  <si>
    <t>CAP CER 1UF 25V X5R 0603</t>
  </si>
  <si>
    <t>C11, C15, C24, C26, C28, C30, C32</t>
  </si>
  <si>
    <t>CC0603KRX5R8BB105</t>
  </si>
  <si>
    <t>CAP CER, 4.7 µF, 25 V, 0603</t>
  </si>
  <si>
    <t>C16, C19</t>
  </si>
  <si>
    <t>C1608X5R1E475KT000E</t>
  </si>
  <si>
    <t>TDK</t>
  </si>
  <si>
    <t>CAP CER 10PF 50V C0G/NP0 0603</t>
  </si>
  <si>
    <t>C20, C21</t>
  </si>
  <si>
    <t>06035A100JAT2A</t>
  </si>
  <si>
    <t>CAP CER 20PF 50V C0G/NP0 0603</t>
  </si>
  <si>
    <t>C22, C23</t>
  </si>
  <si>
    <t>CL10C200JB8NNNC</t>
  </si>
  <si>
    <t xml:space="preserve">Samsung </t>
  </si>
  <si>
    <t>DIODE ZENER 3.3V 200MW SOD323F</t>
  </si>
  <si>
    <t>D1, D2, D3, D4</t>
  </si>
  <si>
    <t>SOD323F</t>
  </si>
  <si>
    <t>MM3Z3V3B</t>
  </si>
  <si>
    <t>onsemi</t>
  </si>
  <si>
    <t xml:space="preserve">DIODE ARRAY SCHOTTKY 60V 6A DPAK
</t>
  </si>
  <si>
    <t>D5, D6</t>
  </si>
  <si>
    <t>TO-252AA</t>
  </si>
  <si>
    <t>VS-12CWQ06FNTR-M3</t>
  </si>
  <si>
    <t xml:space="preserve">Vishay </t>
  </si>
  <si>
    <t>L1</t>
  </si>
  <si>
    <t xml:space="preserve">Abracon </t>
  </si>
  <si>
    <t>TRANS NPN 40V 0.6A SMD SOT23-3</t>
  </si>
  <si>
    <t>Q1</t>
  </si>
  <si>
    <t>SOT-23</t>
  </si>
  <si>
    <t>MMBT2222A-7-F</t>
  </si>
  <si>
    <t xml:space="preserve">Diodes </t>
  </si>
  <si>
    <t>RES SMD 1.69K 0.1W 0603</t>
  </si>
  <si>
    <t>R1</t>
  </si>
  <si>
    <t>Res0603</t>
  </si>
  <si>
    <t>CR0603-FX-1691ELF</t>
  </si>
  <si>
    <t xml:space="preserve">Bourns </t>
  </si>
  <si>
    <t>RES SMD 100K OHM 5% 1/5W 0603</t>
  </si>
  <si>
    <t>R2</t>
  </si>
  <si>
    <t>CRGH0603J100K</t>
  </si>
  <si>
    <t xml:space="preserve">TE </t>
  </si>
  <si>
    <t>RES SMD 0603 56K Ohm 5% 0.1W</t>
  </si>
  <si>
    <t>R3</t>
  </si>
  <si>
    <t>RC0603JR-0756KL</t>
  </si>
  <si>
    <t>RES SMD 10K OHM 1% 1/10W 0603</t>
  </si>
  <si>
    <t>R4, R5, R6, R19, R20, R23</t>
  </si>
  <si>
    <t>RC0603FR-0710KL</t>
  </si>
  <si>
    <t>R7, R12, R13, R14</t>
  </si>
  <si>
    <t>RES SMD 3.3K OHM 1% 1/10W 0603</t>
  </si>
  <si>
    <t>R8, R9, R10, R11</t>
  </si>
  <si>
    <t>RC0603FR-073K3L</t>
  </si>
  <si>
    <t>RES SMD 200 OHM 0.5% 1/10W 0603</t>
  </si>
  <si>
    <t>R15, R16, R17, R18</t>
  </si>
  <si>
    <t>RT0603DRD07200RL</t>
  </si>
  <si>
    <t>RES SMD 36K Ohm 1% 0.1W 0603</t>
  </si>
  <si>
    <t>R21</t>
  </si>
  <si>
    <t>RC0603FR-0736KL</t>
  </si>
  <si>
    <t>RES SMD 1.5K OHM 1% 1/10W 0603</t>
  </si>
  <si>
    <t>R22</t>
  </si>
  <si>
    <t>RC0603FR-071K5L</t>
  </si>
  <si>
    <t>SWITCH TACTILE SPST-NO 0.05A 12V</t>
  </si>
  <si>
    <t>SW1, SW3</t>
  </si>
  <si>
    <t>B3U-1000P</t>
  </si>
  <si>
    <t>Omron </t>
  </si>
  <si>
    <t>SPDT 50mA @ 12VDC 12V On-On SMD Toggle Switches RoHS</t>
  </si>
  <si>
    <t>SW2</t>
  </si>
  <si>
    <t>SS-3235D-03-L2</t>
  </si>
  <si>
    <t xml:space="preserve">Seiko </t>
  </si>
  <si>
    <t xml:space="preserve">SMD2012-2P Crystals ROHS
</t>
  </si>
  <si>
    <t>X1</t>
  </si>
  <si>
    <t>X1A000061002100</t>
  </si>
  <si>
    <t xml:space="preserve">12V 50mA @ 12VDC SPDT On-On SMD Slide Switches ROHS
</t>
  </si>
  <si>
    <t>X2</t>
  </si>
  <si>
    <t>XXDCCLNANF-8.000000MHZ</t>
  </si>
  <si>
    <t xml:space="preserve">TAITIEN </t>
  </si>
  <si>
    <t>IC REG BUCK ADJUSTABLE 6A 14VQFN</t>
  </si>
  <si>
    <t>U1</t>
  </si>
  <si>
    <t>14-VQFN (3.5x3.5)</t>
  </si>
  <si>
    <t>TPS54620RHLR</t>
  </si>
  <si>
    <t xml:space="preserve">Texas </t>
  </si>
  <si>
    <t>STM32F070CBT6TR</t>
  </si>
  <si>
    <t>U2</t>
  </si>
  <si>
    <t>48-LQFP (7x7)</t>
  </si>
  <si>
    <t>STMicroelectronics</t>
  </si>
  <si>
    <t>IC REG LINEAR 3.3V 1A SOT223</t>
  </si>
  <si>
    <t>U3</t>
  </si>
  <si>
    <t>SOT-223</t>
  </si>
  <si>
    <t>NCP1117LPST33T3G</t>
  </si>
  <si>
    <t xml:space="preserve">OPTOISOLATOR 2.5KV TRANS 4SOIC
</t>
  </si>
  <si>
    <t>U4, U5, U6, U7</t>
  </si>
  <si>
    <t>PS2801C-1-F3-A</t>
  </si>
  <si>
    <t xml:space="preserve">Renesas </t>
  </si>
  <si>
    <t>IC TRANSLATION TXRX 5.5V 24TSSOP</t>
  </si>
  <si>
    <t>U8</t>
  </si>
  <si>
    <t>24-TSSOP</t>
  </si>
  <si>
    <t>SN74LVC8T245PWR</t>
  </si>
  <si>
    <t xml:space="preserve">IC PWR SWITCH P-CHAN 1:1 4TMLF
</t>
  </si>
  <si>
    <t>U9, U10, U11, U12, U13</t>
  </si>
  <si>
    <t xml:space="preserve"> 
4-TMLF</t>
  </si>
  <si>
    <t>MIC94082YFT-TR</t>
  </si>
  <si>
    <t xml:space="preserve">Microchip </t>
  </si>
  <si>
    <t>CONN HEADER VERT 3POS 2.54MM</t>
  </si>
  <si>
    <t>J1, J2, J4, J5, J7</t>
  </si>
  <si>
    <t>640456-3</t>
  </si>
  <si>
    <t>P=5.0mm Screw terminal ROHS</t>
  </si>
  <si>
    <t>J3</t>
  </si>
  <si>
    <t>WJ126V-5.0-6P</t>
  </si>
  <si>
    <t>CONN MICRO SD CARD PUSH-PULL R/A</t>
  </si>
  <si>
    <t>J6</t>
  </si>
  <si>
    <t xml:space="preserve">Amphenol </t>
  </si>
  <si>
    <t>CONN RCPT USB2.0 MICRO B SMD R/A</t>
  </si>
  <si>
    <t>J8</t>
  </si>
  <si>
    <t>10118194-0001LF</t>
  </si>
  <si>
    <t>10uF</t>
  </si>
  <si>
    <t>47uF</t>
  </si>
  <si>
    <t>8200pF</t>
  </si>
  <si>
    <t>10000pF</t>
  </si>
  <si>
    <t>0.1uF</t>
  </si>
  <si>
    <t>1uF</t>
  </si>
  <si>
    <t>4.7uF</t>
  </si>
  <si>
    <t>10pF</t>
  </si>
  <si>
    <t>20pF</t>
  </si>
  <si>
    <t>-</t>
  </si>
  <si>
    <t>3.3 µH</t>
  </si>
  <si>
    <t>1K69</t>
  </si>
  <si>
    <t>100K</t>
  </si>
  <si>
    <t>56K</t>
  </si>
  <si>
    <t>10K</t>
  </si>
  <si>
    <t>390R</t>
  </si>
  <si>
    <t>3.3K</t>
  </si>
  <si>
    <t>200R</t>
  </si>
  <si>
    <t>36K</t>
  </si>
  <si>
    <t>1.5K</t>
  </si>
  <si>
    <t>32.768 KHz</t>
  </si>
  <si>
    <t>8000000Hz</t>
  </si>
  <si>
    <t>--</t>
  </si>
  <si>
    <t>LCSC</t>
  </si>
  <si>
    <t xml:space="preserve">Switch </t>
  </si>
  <si>
    <t xml:space="preserve"> Crystal</t>
  </si>
  <si>
    <t>C194427</t>
  </si>
  <si>
    <t>C90142</t>
  </si>
  <si>
    <t>C113812</t>
  </si>
  <si>
    <t>C100042</t>
  </si>
  <si>
    <t>C113803</t>
  </si>
  <si>
    <t>C72484</t>
  </si>
  <si>
    <t>C14664</t>
  </si>
  <si>
    <t>C76615</t>
  </si>
  <si>
    <t>C1648</t>
  </si>
  <si>
    <t>C467004</t>
  </si>
  <si>
    <t>C94515</t>
  </si>
  <si>
    <t>C203341</t>
  </si>
  <si>
    <t>C161785</t>
  </si>
  <si>
    <t>C137618</t>
  </si>
  <si>
    <t>C98220</t>
  </si>
  <si>
    <t>C108078</t>
  </si>
  <si>
    <t>C700498</t>
  </si>
  <si>
    <t>C114619</t>
  </si>
  <si>
    <t>C114668</t>
  </si>
  <si>
    <t xml:space="preserve">XKB </t>
  </si>
  <si>
    <t>C381097</t>
  </si>
  <si>
    <t>C255767</t>
  </si>
  <si>
    <t>C521664</t>
  </si>
  <si>
    <t>C263274</t>
  </si>
  <si>
    <t>C2053863</t>
  </si>
  <si>
    <t>C146799</t>
  </si>
  <si>
    <t>C67112</t>
  </si>
  <si>
    <t>C27643</t>
  </si>
  <si>
    <t>C86503</t>
  </si>
  <si>
    <t xml:space="preserve">Ningbo </t>
  </si>
  <si>
    <t>C8379</t>
  </si>
  <si>
    <t>25121WF3900T4E</t>
  </si>
  <si>
    <t>C60131</t>
  </si>
  <si>
    <t>UNI-ROYAL</t>
  </si>
  <si>
    <t>C132563</t>
  </si>
  <si>
    <t>AVX</t>
  </si>
  <si>
    <t>CC0603JRNPO9BN100</t>
  </si>
  <si>
    <t>BZT52C3V3S</t>
  </si>
  <si>
    <t>C231329</t>
  </si>
  <si>
    <t>C173439</t>
  </si>
  <si>
    <t>C106245</t>
  </si>
  <si>
    <t>Awaiting reponse of custom supplier</t>
  </si>
  <si>
    <t>C125616</t>
  </si>
  <si>
    <t>TF-002T-15</t>
  </si>
  <si>
    <t>FIXED IND 3.3UH 6A 36 MOHM SMD</t>
  </si>
  <si>
    <t>IHLP2525CZER3R3M01</t>
  </si>
  <si>
    <t>C506574</t>
  </si>
  <si>
    <t xml:space="preserve">Resistors 200V 390Ω 2512 Chip Resistor SMD_x000D_
</t>
  </si>
  <si>
    <t>RES 2512</t>
  </si>
  <si>
    <t>Bill of Material (BOM) for Saleem Custom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</si>
</sst>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00"/>
    <numFmt numFmtId="165" formatCode="&quot;$&quot;#,##0.00"/>
    <numFmt numFmtId="166" formatCode="_-[$$-409]* #,##0.00_ ;_-[$$-409]* \-#,##0.00\ ;_-[$$-409]* &quot;-&quot;??_ ;_-@_ "/>
    <numFmt numFmtId="167" formatCode="&quot;$&quot;#,##0.0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11"/>
      <color rgb="FF444444"/>
      <name val="Arial"/>
      <family val="2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444444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4" fillId="3" borderId="3" xfId="0" quotePrefix="1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0" fillId="0" borderId="0" xfId="0" applyFont="1"/>
    <xf numFmtId="0" fontId="4" fillId="0" borderId="7" xfId="0" quotePrefix="1" applyFont="1" applyBorder="1" applyAlignment="1">
      <alignment horizontal="center" vertical="center"/>
    </xf>
    <xf numFmtId="0" fontId="4" fillId="3" borderId="7" xfId="0" quotePrefix="1" applyFont="1" applyFill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7" fillId="0" borderId="7" xfId="1" quotePrefix="1" applyFont="1" applyBorder="1" applyAlignment="1">
      <alignment horizontal="center" vertical="center"/>
    </xf>
    <xf numFmtId="0" fontId="4" fillId="3" borderId="11" xfId="0" quotePrefix="1" applyFont="1" applyFill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166" fontId="9" fillId="3" borderId="4" xfId="0" applyNumberFormat="1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vertical="center"/>
    </xf>
    <xf numFmtId="0" fontId="5" fillId="0" borderId="7" xfId="0" quotePrefix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vertical="center" wrapText="1"/>
    </xf>
    <xf numFmtId="0" fontId="8" fillId="3" borderId="8" xfId="0" applyFont="1" applyFill="1" applyBorder="1" applyAlignment="1">
      <alignment horizontal="center" vertical="center"/>
    </xf>
    <xf numFmtId="166" fontId="9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5" fillId="0" borderId="0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vertical="top" wrapText="1"/>
    </xf>
    <xf numFmtId="0" fontId="0" fillId="5" borderId="0" xfId="0" applyFill="1"/>
    <xf numFmtId="0" fontId="2" fillId="2" borderId="14" xfId="0" applyFont="1" applyFill="1" applyBorder="1" applyAlignment="1">
      <alignment horizontal="center" vertical="center"/>
    </xf>
    <xf numFmtId="0" fontId="5" fillId="0" borderId="0" xfId="0" applyFont="1"/>
    <xf numFmtId="165" fontId="5" fillId="0" borderId="0" xfId="0" applyNumberFormat="1" applyFont="1"/>
    <xf numFmtId="0" fontId="13" fillId="5" borderId="0" xfId="0" applyFont="1" applyFill="1" applyAlignment="1">
      <alignment horizontal="left" vertical="top" wrapText="1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7" xfId="0" quotePrefix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1" xfId="0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quotePrefix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4" fontId="7" fillId="3" borderId="7" xfId="1" applyNumberFormat="1" applyFont="1" applyFill="1" applyBorder="1" applyAlignment="1">
      <alignment horizontal="center" vertical="center"/>
    </xf>
    <xf numFmtId="164" fontId="11" fillId="3" borderId="7" xfId="0" applyNumberFormat="1" applyFont="1" applyFill="1" applyBorder="1" applyAlignment="1">
      <alignment horizontal="center" vertical="center"/>
    </xf>
    <xf numFmtId="0" fontId="7" fillId="3" borderId="7" xfId="1" quotePrefix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7" fillId="3" borderId="11" xfId="1" quotePrefix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 wrapText="1"/>
    </xf>
    <xf numFmtId="0" fontId="6" fillId="3" borderId="11" xfId="1" quotePrefix="1" applyFill="1" applyBorder="1" applyAlignment="1">
      <alignment horizontal="center" vertical="center"/>
    </xf>
    <xf numFmtId="167" fontId="4" fillId="3" borderId="7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vertical="center" wrapText="1"/>
    </xf>
    <xf numFmtId="0" fontId="7" fillId="3" borderId="3" xfId="1" quotePrefix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5" fillId="0" borderId="10" xfId="0" quotePrefix="1" applyFont="1" applyBorder="1" applyAlignment="1">
      <alignment vertical="center"/>
    </xf>
    <xf numFmtId="0" fontId="5" fillId="0" borderId="2" xfId="0" quotePrefix="1" applyFont="1" applyBorder="1" applyAlignment="1">
      <alignment vertical="center"/>
    </xf>
    <xf numFmtId="165" fontId="11" fillId="3" borderId="3" xfId="0" applyNumberFormat="1" applyFont="1" applyFill="1" applyBorder="1" applyAlignment="1">
      <alignment horizontal="center" vertical="center"/>
    </xf>
    <xf numFmtId="0" fontId="5" fillId="0" borderId="20" xfId="0" quotePrefix="1" applyFont="1" applyBorder="1" applyAlignment="1">
      <alignment vertical="center" wrapText="1"/>
    </xf>
    <xf numFmtId="0" fontId="5" fillId="0" borderId="21" xfId="0" quotePrefix="1" applyFont="1" applyBorder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0" fontId="5" fillId="3" borderId="21" xfId="0" quotePrefix="1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64" fontId="4" fillId="3" borderId="21" xfId="0" applyNumberFormat="1" applyFont="1" applyFill="1" applyBorder="1" applyAlignment="1">
      <alignment horizontal="center" vertical="center"/>
    </xf>
    <xf numFmtId="164" fontId="5" fillId="3" borderId="21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22" xfId="0" quotePrefix="1" applyFont="1" applyBorder="1" applyAlignment="1">
      <alignment vertical="center" wrapText="1"/>
    </xf>
    <xf numFmtId="0" fontId="5" fillId="0" borderId="16" xfId="0" quotePrefix="1" applyFont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7" fillId="3" borderId="16" xfId="1" quotePrefix="1" applyFont="1" applyFill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164" fontId="5" fillId="3" borderId="16" xfId="0" applyNumberFormat="1" applyFont="1" applyFill="1" applyBorder="1" applyAlignment="1">
      <alignment horizontal="center" vertical="center"/>
    </xf>
    <xf numFmtId="0" fontId="5" fillId="3" borderId="23" xfId="0" applyFont="1" applyFill="1" applyBorder="1"/>
    <xf numFmtId="0" fontId="5" fillId="3" borderId="2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3" borderId="7" xfId="1" quotePrefix="1" applyFill="1" applyBorder="1" applyAlignment="1">
      <alignment horizontal="center" vertical="center"/>
    </xf>
    <xf numFmtId="0" fontId="6" fillId="3" borderId="3" xfId="1" quotePrefix="1" applyFill="1" applyBorder="1" applyAlignment="1">
      <alignment horizontal="center" vertical="center"/>
    </xf>
    <xf numFmtId="0" fontId="6" fillId="3" borderId="21" xfId="1" quotePrefix="1" applyFill="1" applyBorder="1" applyAlignment="1">
      <alignment horizontal="center" vertical="center"/>
    </xf>
    <xf numFmtId="0" fontId="5" fillId="4" borderId="11" xfId="0" quotePrefix="1" applyFont="1" applyFill="1" applyBorder="1" applyAlignment="1">
      <alignment horizontal="center" vertical="center" wrapText="1"/>
    </xf>
    <xf numFmtId="0" fontId="5" fillId="4" borderId="11" xfId="0" quotePrefix="1" applyFont="1" applyFill="1" applyBorder="1" applyAlignment="1">
      <alignment horizontal="center" vertical="center"/>
    </xf>
    <xf numFmtId="0" fontId="4" fillId="4" borderId="11" xfId="0" quotePrefix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164" fontId="7" fillId="4" borderId="11" xfId="1" applyNumberFormat="1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center" vertical="center"/>
    </xf>
    <xf numFmtId="164" fontId="5" fillId="4" borderId="11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0" xfId="0" quotePrefix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2" fillId="3" borderId="0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14" fillId="0" borderId="7" xfId="0" quotePrefix="1" applyFont="1" applyBorder="1" applyAlignment="1">
      <alignment horizontal="center" vertical="center" wrapText="1"/>
    </xf>
    <xf numFmtId="0" fontId="5" fillId="3" borderId="3" xfId="0" quotePrefix="1" applyFont="1" applyFill="1" applyBorder="1" applyAlignment="1">
      <alignment horizontal="center" vertical="center" wrapText="1"/>
    </xf>
    <xf numFmtId="0" fontId="5" fillId="3" borderId="7" xfId="0" quotePrefix="1" applyFont="1" applyFill="1" applyBorder="1" applyAlignment="1">
      <alignment horizontal="center" vertical="center" wrapText="1"/>
    </xf>
    <xf numFmtId="0" fontId="5" fillId="3" borderId="11" xfId="0" quotePrefix="1" applyFont="1" applyFill="1" applyBorder="1" applyAlignment="1">
      <alignment horizontal="center" vertical="center" wrapText="1"/>
    </xf>
    <xf numFmtId="0" fontId="5" fillId="3" borderId="21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Chip-span-style-background-color-ff0-Resistor-span-Surface-Mount_PANASONIC-ERJPB3B1003V_C161785.html" TargetMode="External"/><Relationship Id="rId18" Type="http://schemas.openxmlformats.org/officeDocument/2006/relationships/hyperlink" Target="https://lcsc.com/product-detail/Chip-Resistor-Surface-Mount_YAGEO-RC0603FR-0736KL_C114619.html" TargetMode="External"/><Relationship Id="rId26" Type="http://schemas.openxmlformats.org/officeDocument/2006/relationships/hyperlink" Target="https://lcsc.com/product-detail/Linear-Voltage-Regulators-LDO_onsemi-NCP1117LPST33T3G_C146799.html" TargetMode="External"/><Relationship Id="rId3" Type="http://schemas.openxmlformats.org/officeDocument/2006/relationships/hyperlink" Target="https://lcsc.com/product-detail/Multilayer-Ceramic-Capacitors-MLCC-SMD-SMT_Taiyo-Yuden-TMK325ABJ476MM-P_C90142.html" TargetMode="External"/><Relationship Id="rId21" Type="http://schemas.openxmlformats.org/officeDocument/2006/relationships/hyperlink" Target="https://lcsc.com/product-detail/Slide-Switches_XKB-Connectivity-SS-3235D-03-L2_C381097.html" TargetMode="External"/><Relationship Id="rId34" Type="http://schemas.openxmlformats.org/officeDocument/2006/relationships/hyperlink" Target="https://lcsc.com/product-detail/Zener-Diodes_MDD-Microdiode-Electronics-BZT52C3V3S_C173439.html" TargetMode="External"/><Relationship Id="rId7" Type="http://schemas.openxmlformats.org/officeDocument/2006/relationships/hyperlink" Target="https://lcsc.com/product-detail/Multilayer-Ceramic-Capacitors-MLCC-SMD-SMT_YAGEO-CC0603KRX5R8BB105_C14664.html" TargetMode="External"/><Relationship Id="rId12" Type="http://schemas.openxmlformats.org/officeDocument/2006/relationships/hyperlink" Target="https://lcsc.com/product-detail/Chip-Resistor-Surface-Mount_BOURNS-CR0603-FX-1691ELF_C203341.html" TargetMode="External"/><Relationship Id="rId17" Type="http://schemas.openxmlformats.org/officeDocument/2006/relationships/hyperlink" Target="https://lcsc.com/product-detail/Chip-Resistor-Surface-Mount_YAGEO-RT0603DRD07200RL_C700498.html" TargetMode="External"/><Relationship Id="rId25" Type="http://schemas.openxmlformats.org/officeDocument/2006/relationships/hyperlink" Target="https://lcsc.com/product-detail/ST-Microelectronics_STMicroelectronics-STM32F070CBT6TR_C2053863.html" TargetMode="External"/><Relationship Id="rId33" Type="http://schemas.openxmlformats.org/officeDocument/2006/relationships/hyperlink" Target="https://lcsc.com/product-detail/Multilayer-Ceramic-Capacitors-MLCC-SMD-SMT_YAGEO-CC0603JRNPO9BN100_C106245.html" TargetMode="External"/><Relationship Id="rId2" Type="http://schemas.openxmlformats.org/officeDocument/2006/relationships/hyperlink" Target="https://lcsc.com/product-detail/Multilayer-Ceramic-Capacitors-MLCC-SMD-SMT_Murata-Electronics-GRM188R6YA106MA73D_C194427.html" TargetMode="External"/><Relationship Id="rId16" Type="http://schemas.openxmlformats.org/officeDocument/2006/relationships/hyperlink" Target="https://lcsc.com/product-detail/Chip-Resistor-Surface-Mount_YAGEO-RC0603FR-073K3L_C108078.html" TargetMode="External"/><Relationship Id="rId20" Type="http://schemas.openxmlformats.org/officeDocument/2006/relationships/hyperlink" Target="https://lcsc.com/product-detail/Tactile-Switches_Omron-Electronics-B3U-1000P_C231329.html" TargetMode="External"/><Relationship Id="rId29" Type="http://schemas.openxmlformats.org/officeDocument/2006/relationships/hyperlink" Target="https://lcsc.com/product-detail/Wire-To-Board-Wire-To-Wire-Connector_TE-Connectivity-640456-3_C86503.html" TargetMode="External"/><Relationship Id="rId1" Type="http://schemas.openxmlformats.org/officeDocument/2006/relationships/hyperlink" Target="https://lcsc.com/product-detail/Aluminum-Electrolytic-Capacitors-SMD_ROQANG-RVT1E100M0405_C72484.html" TargetMode="External"/><Relationship Id="rId6" Type="http://schemas.openxmlformats.org/officeDocument/2006/relationships/hyperlink" Target="https://lcsc.com/product-detail/Multilayer-Ceramic-Capacitors-MLCC-SMD-SMT_YAGEO-CC0603KRX7R0BB104_C113803.html" TargetMode="External"/><Relationship Id="rId11" Type="http://schemas.openxmlformats.org/officeDocument/2006/relationships/hyperlink" Target="https://lcsc.com/product-detail/Bipolar-Transistors-BJT_Diodes-Incorporated-MMBT2222A-7-F_C94515.html" TargetMode="External"/><Relationship Id="rId24" Type="http://schemas.openxmlformats.org/officeDocument/2006/relationships/hyperlink" Target="https://lcsc.com/product-detail/DC-DC-Converters_Texas-Instruments-TPS54620RHLR_C263274.html" TargetMode="External"/><Relationship Id="rId32" Type="http://schemas.openxmlformats.org/officeDocument/2006/relationships/hyperlink" Target="https://www.lcsc.com/product-detail/USB-Connectors_Amphenol-ICC-10118194-0001LF_C132563.html" TargetMode="External"/><Relationship Id="rId5" Type="http://schemas.openxmlformats.org/officeDocument/2006/relationships/hyperlink" Target="https://lcsc.com/product-detail/Multilayer-Ceramic-Capacitors-MLCC-SMD-SMT_YAGEO-CC0603KRX7R9BB103_C100042.html" TargetMode="External"/><Relationship Id="rId15" Type="http://schemas.openxmlformats.org/officeDocument/2006/relationships/hyperlink" Target="https://lcsc.com/product-detail/Chip-Resistor-Surface-Mount_YAGEO-RC0603FR-0710KL_C98220.html" TargetMode="External"/><Relationship Id="rId23" Type="http://schemas.openxmlformats.org/officeDocument/2006/relationships/hyperlink" Target="https://lcsc.com/product-detail/Crystals_TAITIEN-Elec-XXDCCLNANF-8-000000MHZ_C521664.html" TargetMode="External"/><Relationship Id="rId28" Type="http://schemas.openxmlformats.org/officeDocument/2006/relationships/hyperlink" Target="https://lcsc.com/product-detail/Translators-Level-Shifters_Texas-Instruments-SN74LVC8T245PWR_C27643.html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lcsc.com/product-detail/Schottky-Barrier-Diodes-SBD_Vishay-Intertech-VS-12CWQ06FNTR-M3_C467004.html" TargetMode="External"/><Relationship Id="rId19" Type="http://schemas.openxmlformats.org/officeDocument/2006/relationships/hyperlink" Target="https://lcsc.com/product-detail/Chip-Resistor-Surface-Mount_YAGEO-RC0603FR-071K5L_C114668.html" TargetMode="External"/><Relationship Id="rId31" Type="http://schemas.openxmlformats.org/officeDocument/2006/relationships/hyperlink" Target="https://lcsc.com/product-detail/Chip-span-style-background-color-ff0-Resistor-span-Surface-Mount_UNI-ROYAL-Uniroyal-Elec-25121WF3900T4E_C60131.html" TargetMode="External"/><Relationship Id="rId4" Type="http://schemas.openxmlformats.org/officeDocument/2006/relationships/hyperlink" Target="https://lcsc.com/product-detail/Multilayer-Ceramic-Capacitors-MLCC-SMD-SMT_YAGEO-CC0603KRX7R9BB822_C113812.html" TargetMode="External"/><Relationship Id="rId9" Type="http://schemas.openxmlformats.org/officeDocument/2006/relationships/hyperlink" Target="https://lcsc.com/product-detail/Multilayer-Ceramic-Capacitors-MLCC-SMD-SMT_Samsung-Electro-Mechanics-CL10C200JB8NNNC_C1648.html" TargetMode="External"/><Relationship Id="rId14" Type="http://schemas.openxmlformats.org/officeDocument/2006/relationships/hyperlink" Target="https://lcsc.com/product-detail/Chip-Resistor-Surface-Mount_YAGEO-RC0603JR-0756KL_C137618.html" TargetMode="External"/><Relationship Id="rId22" Type="http://schemas.openxmlformats.org/officeDocument/2006/relationships/hyperlink" Target="https://lcsc.com/product-detail/Crystals_Seiko-Epson-X1A000061002100_C255767.html" TargetMode="External"/><Relationship Id="rId27" Type="http://schemas.openxmlformats.org/officeDocument/2006/relationships/hyperlink" Target="https://lcsc.com/product-detail/Optocouplers-Phototransistor-Output_RENESAS-PS2801C-1-F3-A_C67112.html" TargetMode="External"/><Relationship Id="rId30" Type="http://schemas.openxmlformats.org/officeDocument/2006/relationships/hyperlink" Target="https://lcsc.com/product-detail/Screw-terminal_Ningbo-Kangnex-Elec-WJ126V-5-0-6P_C8379.html" TargetMode="External"/><Relationship Id="rId35" Type="http://schemas.openxmlformats.org/officeDocument/2006/relationships/hyperlink" Target="https://lcsc.com/product-detail/Power-Inductors_Vishay-Intertech-IHLP2525CZER3R3M01_C506574.html" TargetMode="External"/><Relationship Id="rId8" Type="http://schemas.openxmlformats.org/officeDocument/2006/relationships/hyperlink" Target="https://lcsc.com/product-detail/Multilayer-Ceramic-Capacitors-MLCC-SMD-SMT_TDK-C1608X5R1E475KT000E_C766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tabSelected="1" zoomScale="98" zoomScaleNormal="98" workbookViewId="0">
      <selection activeCell="C23" sqref="C23"/>
    </sheetView>
  </sheetViews>
  <sheetFormatPr defaultRowHeight="15" x14ac:dyDescent="0.25"/>
  <cols>
    <col min="1" max="1" width="6.140625" style="21" bestFit="1" customWidth="1"/>
    <col min="2" max="2" width="14.42578125" style="21" customWidth="1"/>
    <col min="3" max="3" width="47.5703125" customWidth="1"/>
    <col min="4" max="4" width="36.42578125" customWidth="1"/>
    <col min="5" max="5" width="21" bestFit="1" customWidth="1"/>
    <col min="6" max="6" width="29" bestFit="1" customWidth="1"/>
    <col min="7" max="7" width="19.140625" bestFit="1" customWidth="1"/>
    <col min="8" max="8" width="14.42578125" customWidth="1"/>
    <col min="9" max="9" width="18.85546875" bestFit="1" customWidth="1"/>
    <col min="10" max="10" width="10.28515625" bestFit="1" customWidth="1"/>
    <col min="11" max="11" width="11.5703125" bestFit="1" customWidth="1"/>
    <col min="12" max="12" width="21.85546875" bestFit="1" customWidth="1"/>
    <col min="13" max="13" width="11.7109375" bestFit="1" customWidth="1"/>
    <col min="14" max="14" width="10.28515625" bestFit="1" customWidth="1"/>
    <col min="15" max="15" width="12.7109375" bestFit="1" customWidth="1"/>
    <col min="16" max="17" width="13.42578125" bestFit="1" customWidth="1"/>
    <col min="18" max="18" width="21" bestFit="1" customWidth="1"/>
    <col min="19" max="19" width="14.28515625" bestFit="1" customWidth="1"/>
    <col min="20" max="20" width="31" bestFit="1" customWidth="1"/>
  </cols>
  <sheetData>
    <row r="1" spans="1:22" ht="16.5" thickBot="1" x14ac:dyDescent="0.3">
      <c r="A1" s="115" t="s">
        <v>241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7"/>
    </row>
    <row r="2" spans="1:22" ht="16.5" thickBot="1" x14ac:dyDescent="0.3">
      <c r="A2" s="25" t="s">
        <v>0</v>
      </c>
      <c r="B2" s="34" t="s">
        <v>1</v>
      </c>
      <c r="C2" s="35" t="s">
        <v>2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7</v>
      </c>
      <c r="I2" s="35" t="s">
        <v>8</v>
      </c>
      <c r="J2" s="35" t="s">
        <v>9</v>
      </c>
      <c r="K2" s="35" t="s">
        <v>10</v>
      </c>
      <c r="L2" s="35" t="s">
        <v>11</v>
      </c>
      <c r="M2" s="35" t="s">
        <v>12</v>
      </c>
      <c r="N2" s="36" t="s">
        <v>27</v>
      </c>
      <c r="O2" s="31" t="s">
        <v>13</v>
      </c>
      <c r="P2" s="31" t="s">
        <v>14</v>
      </c>
      <c r="Q2" s="31" t="s">
        <v>28</v>
      </c>
      <c r="R2" s="31" t="s">
        <v>15</v>
      </c>
      <c r="S2" s="32" t="s">
        <v>16</v>
      </c>
      <c r="T2" s="35" t="s">
        <v>17</v>
      </c>
    </row>
    <row r="3" spans="1:22" ht="15.75" thickBot="1" x14ac:dyDescent="0.3">
      <c r="A3" s="33">
        <v>1</v>
      </c>
      <c r="B3" s="111" t="s">
        <v>18</v>
      </c>
      <c r="C3" s="13" t="s">
        <v>29</v>
      </c>
      <c r="D3" s="122" t="s">
        <v>30</v>
      </c>
      <c r="E3" s="14" t="s">
        <v>31</v>
      </c>
      <c r="F3" s="14" t="s">
        <v>32</v>
      </c>
      <c r="G3" s="2" t="s">
        <v>33</v>
      </c>
      <c r="H3" s="50" t="s">
        <v>192</v>
      </c>
      <c r="I3" s="47" t="s">
        <v>175</v>
      </c>
      <c r="J3" s="14" t="s">
        <v>166</v>
      </c>
      <c r="K3" s="52">
        <v>10</v>
      </c>
      <c r="L3" s="67">
        <v>1</v>
      </c>
      <c r="M3" s="52">
        <f>L3*5</f>
        <v>5</v>
      </c>
      <c r="N3" s="53" t="s">
        <v>189</v>
      </c>
      <c r="O3" s="54">
        <v>6.0900000000000003E-2</v>
      </c>
      <c r="P3" s="55">
        <f>O3*L3</f>
        <v>6.0900000000000003E-2</v>
      </c>
      <c r="Q3" s="55">
        <f>O3*K3</f>
        <v>0.60899999999999999</v>
      </c>
      <c r="R3" s="54">
        <v>6.0900000000000003E-2</v>
      </c>
      <c r="S3" s="55">
        <f>R3*M3</f>
        <v>0.30449999999999999</v>
      </c>
      <c r="T3" s="56"/>
      <c r="U3" s="3"/>
      <c r="V3" s="3"/>
    </row>
    <row r="4" spans="1:22" ht="15.75" thickBot="1" x14ac:dyDescent="0.3">
      <c r="A4" s="33">
        <v>2</v>
      </c>
      <c r="B4" s="112"/>
      <c r="C4" s="18" t="s">
        <v>34</v>
      </c>
      <c r="D4" s="123" t="s">
        <v>35</v>
      </c>
      <c r="E4" s="17" t="s">
        <v>36</v>
      </c>
      <c r="F4" s="17" t="s">
        <v>37</v>
      </c>
      <c r="G4" s="4" t="s">
        <v>38</v>
      </c>
      <c r="H4" s="37" t="s">
        <v>193</v>
      </c>
      <c r="I4" s="37" t="s">
        <v>175</v>
      </c>
      <c r="J4" s="17" t="s">
        <v>167</v>
      </c>
      <c r="K4" s="39">
        <v>7</v>
      </c>
      <c r="L4" s="15">
        <v>1</v>
      </c>
      <c r="M4" s="39">
        <f t="shared" ref="M4:M39" si="0">L4*5</f>
        <v>5</v>
      </c>
      <c r="N4" s="57" t="s">
        <v>189</v>
      </c>
      <c r="O4" s="40">
        <v>0.51580000000000004</v>
      </c>
      <c r="P4" s="41">
        <f t="shared" ref="P4:P39" si="1">O4*L4</f>
        <v>0.51580000000000004</v>
      </c>
      <c r="Q4" s="41">
        <f t="shared" ref="Q4:Q39" si="2">O4*K4</f>
        <v>3.6106000000000003</v>
      </c>
      <c r="R4" s="58">
        <v>0.51580000000000004</v>
      </c>
      <c r="S4" s="41">
        <f t="shared" ref="S4:S39" si="3">R4*M4</f>
        <v>2.5790000000000002</v>
      </c>
      <c r="T4" s="49"/>
      <c r="U4" s="3"/>
      <c r="V4" s="3"/>
    </row>
    <row r="5" spans="1:22" ht="15.75" thickBot="1" x14ac:dyDescent="0.3">
      <c r="A5" s="33">
        <v>3</v>
      </c>
      <c r="B5" s="112"/>
      <c r="C5" s="18" t="s">
        <v>39</v>
      </c>
      <c r="D5" s="123" t="s">
        <v>40</v>
      </c>
      <c r="E5" s="17" t="s">
        <v>31</v>
      </c>
      <c r="F5" s="17" t="s">
        <v>41</v>
      </c>
      <c r="G5" s="4" t="s">
        <v>42</v>
      </c>
      <c r="H5" s="37" t="s">
        <v>194</v>
      </c>
      <c r="I5" s="38" t="s">
        <v>175</v>
      </c>
      <c r="J5" s="17" t="s">
        <v>168</v>
      </c>
      <c r="K5" s="39">
        <v>50</v>
      </c>
      <c r="L5" s="15">
        <v>1</v>
      </c>
      <c r="M5" s="39">
        <f t="shared" si="0"/>
        <v>5</v>
      </c>
      <c r="N5" s="57" t="s">
        <v>189</v>
      </c>
      <c r="O5" s="40">
        <v>6.6E-3</v>
      </c>
      <c r="P5" s="41">
        <f t="shared" si="1"/>
        <v>6.6E-3</v>
      </c>
      <c r="Q5" s="41">
        <f t="shared" si="2"/>
        <v>0.33</v>
      </c>
      <c r="R5" s="40">
        <v>6.6E-3</v>
      </c>
      <c r="S5" s="41">
        <f t="shared" si="3"/>
        <v>3.3000000000000002E-2</v>
      </c>
      <c r="T5" s="49"/>
      <c r="U5" s="3"/>
      <c r="V5" s="3"/>
    </row>
    <row r="6" spans="1:22" ht="15.75" thickBot="1" x14ac:dyDescent="0.3">
      <c r="A6" s="33">
        <v>4</v>
      </c>
      <c r="B6" s="112"/>
      <c r="C6" s="18" t="s">
        <v>43</v>
      </c>
      <c r="D6" s="123" t="s">
        <v>44</v>
      </c>
      <c r="E6" s="17" t="s">
        <v>31</v>
      </c>
      <c r="F6" s="17" t="s">
        <v>45</v>
      </c>
      <c r="G6" s="4" t="s">
        <v>42</v>
      </c>
      <c r="H6" s="37" t="s">
        <v>195</v>
      </c>
      <c r="I6" s="38" t="s">
        <v>175</v>
      </c>
      <c r="J6" s="17" t="s">
        <v>169</v>
      </c>
      <c r="K6" s="39">
        <v>100</v>
      </c>
      <c r="L6" s="15">
        <v>2</v>
      </c>
      <c r="M6" s="39">
        <f t="shared" si="0"/>
        <v>10</v>
      </c>
      <c r="N6" s="59" t="s">
        <v>189</v>
      </c>
      <c r="O6" s="66">
        <v>2.8E-3</v>
      </c>
      <c r="P6" s="41">
        <f t="shared" si="1"/>
        <v>5.5999999999999999E-3</v>
      </c>
      <c r="Q6" s="41">
        <f t="shared" si="2"/>
        <v>0.27999999999999997</v>
      </c>
      <c r="R6" s="66">
        <v>2.8E-3</v>
      </c>
      <c r="S6" s="41">
        <f t="shared" si="3"/>
        <v>2.8000000000000001E-2</v>
      </c>
      <c r="T6" s="49"/>
      <c r="U6" s="3"/>
      <c r="V6" s="3"/>
    </row>
    <row r="7" spans="1:22" ht="26.25" thickBot="1" x14ac:dyDescent="0.3">
      <c r="A7" s="33">
        <v>5</v>
      </c>
      <c r="B7" s="112"/>
      <c r="C7" s="18" t="s">
        <v>46</v>
      </c>
      <c r="D7" s="123" t="s">
        <v>47</v>
      </c>
      <c r="E7" s="17" t="s">
        <v>31</v>
      </c>
      <c r="F7" s="17" t="s">
        <v>48</v>
      </c>
      <c r="G7" s="64" t="s">
        <v>42</v>
      </c>
      <c r="H7" s="37" t="s">
        <v>196</v>
      </c>
      <c r="I7" s="38" t="s">
        <v>175</v>
      </c>
      <c r="J7" s="17" t="s">
        <v>170</v>
      </c>
      <c r="K7" s="39">
        <v>100</v>
      </c>
      <c r="L7" s="15">
        <v>14</v>
      </c>
      <c r="M7" s="39">
        <f t="shared" si="0"/>
        <v>70</v>
      </c>
      <c r="N7" s="59" t="s">
        <v>189</v>
      </c>
      <c r="O7" s="40">
        <v>7.6E-3</v>
      </c>
      <c r="P7" s="41">
        <f t="shared" si="1"/>
        <v>0.10639999999999999</v>
      </c>
      <c r="Q7" s="41">
        <f t="shared" si="2"/>
        <v>0.76</v>
      </c>
      <c r="R7" s="40">
        <v>7.6E-3</v>
      </c>
      <c r="S7" s="41">
        <f t="shared" si="3"/>
        <v>0.53200000000000003</v>
      </c>
      <c r="T7" s="19"/>
      <c r="U7" s="3"/>
      <c r="V7" s="3"/>
    </row>
    <row r="8" spans="1:22" ht="15.75" thickBot="1" x14ac:dyDescent="0.3">
      <c r="A8" s="33">
        <v>6</v>
      </c>
      <c r="B8" s="112"/>
      <c r="C8" s="18" t="s">
        <v>49</v>
      </c>
      <c r="D8" s="123" t="s">
        <v>50</v>
      </c>
      <c r="E8" s="17" t="s">
        <v>51</v>
      </c>
      <c r="F8" s="17" t="s">
        <v>52</v>
      </c>
      <c r="G8" s="4" t="s">
        <v>53</v>
      </c>
      <c r="H8" s="37" t="s">
        <v>197</v>
      </c>
      <c r="I8" s="38" t="s">
        <v>175</v>
      </c>
      <c r="J8" s="17" t="s">
        <v>166</v>
      </c>
      <c r="K8" s="39">
        <v>20</v>
      </c>
      <c r="L8" s="15">
        <v>2</v>
      </c>
      <c r="M8" s="39">
        <f t="shared" si="0"/>
        <v>10</v>
      </c>
      <c r="N8" s="7" t="s">
        <v>189</v>
      </c>
      <c r="O8" s="40">
        <v>2.87E-2</v>
      </c>
      <c r="P8" s="41">
        <f t="shared" si="1"/>
        <v>5.74E-2</v>
      </c>
      <c r="Q8" s="41">
        <f t="shared" si="2"/>
        <v>0.57399999999999995</v>
      </c>
      <c r="R8" s="40">
        <v>2.87E-2</v>
      </c>
      <c r="S8" s="41">
        <f t="shared" si="3"/>
        <v>0.28699999999999998</v>
      </c>
      <c r="T8" s="49"/>
      <c r="U8" s="3"/>
      <c r="V8" s="3"/>
    </row>
    <row r="9" spans="1:22" ht="15.75" thickBot="1" x14ac:dyDescent="0.3">
      <c r="A9" s="33">
        <v>7</v>
      </c>
      <c r="B9" s="112"/>
      <c r="C9" s="16" t="s">
        <v>54</v>
      </c>
      <c r="D9" s="38" t="s">
        <v>55</v>
      </c>
      <c r="E9" s="6" t="s">
        <v>31</v>
      </c>
      <c r="F9" s="6" t="s">
        <v>56</v>
      </c>
      <c r="G9" s="4" t="s">
        <v>42</v>
      </c>
      <c r="H9" s="37" t="s">
        <v>198</v>
      </c>
      <c r="I9" s="37" t="s">
        <v>175</v>
      </c>
      <c r="J9" s="17" t="s">
        <v>171</v>
      </c>
      <c r="K9" s="39">
        <v>50</v>
      </c>
      <c r="L9" s="15">
        <v>7</v>
      </c>
      <c r="M9" s="39">
        <f t="shared" si="0"/>
        <v>35</v>
      </c>
      <c r="N9" s="59" t="s">
        <v>189</v>
      </c>
      <c r="O9" s="58">
        <v>9.1000000000000004E-3</v>
      </c>
      <c r="P9" s="41">
        <f t="shared" si="1"/>
        <v>6.3700000000000007E-2</v>
      </c>
      <c r="Q9" s="41">
        <f t="shared" si="2"/>
        <v>0.45500000000000002</v>
      </c>
      <c r="R9" s="58">
        <v>9.1000000000000004E-3</v>
      </c>
      <c r="S9" s="41">
        <f t="shared" si="3"/>
        <v>0.31850000000000001</v>
      </c>
      <c r="T9" s="49"/>
      <c r="U9" s="3"/>
      <c r="V9" s="3"/>
    </row>
    <row r="10" spans="1:22" ht="15.75" thickBot="1" x14ac:dyDescent="0.3">
      <c r="A10" s="33">
        <v>8</v>
      </c>
      <c r="B10" s="112"/>
      <c r="C10" s="18" t="s">
        <v>57</v>
      </c>
      <c r="D10" s="123" t="s">
        <v>58</v>
      </c>
      <c r="E10" s="17" t="s">
        <v>31</v>
      </c>
      <c r="F10" s="120" t="s">
        <v>59</v>
      </c>
      <c r="G10" s="64" t="s">
        <v>60</v>
      </c>
      <c r="H10" s="37" t="s">
        <v>199</v>
      </c>
      <c r="I10" s="39" t="s">
        <v>175</v>
      </c>
      <c r="J10" s="17" t="s">
        <v>172</v>
      </c>
      <c r="K10" s="39">
        <v>20</v>
      </c>
      <c r="L10" s="15">
        <v>2</v>
      </c>
      <c r="M10" s="39">
        <f t="shared" si="0"/>
        <v>10</v>
      </c>
      <c r="N10" s="59" t="s">
        <v>189</v>
      </c>
      <c r="O10" s="40">
        <v>3.7199999999999997E-2</v>
      </c>
      <c r="P10" s="41">
        <f t="shared" si="1"/>
        <v>7.4399999999999994E-2</v>
      </c>
      <c r="Q10" s="41">
        <f t="shared" si="2"/>
        <v>0.74399999999999999</v>
      </c>
      <c r="R10" s="58">
        <v>3.7199999999999997E-2</v>
      </c>
      <c r="S10" s="41">
        <f t="shared" si="3"/>
        <v>0.372</v>
      </c>
      <c r="T10" s="19"/>
      <c r="U10" s="3"/>
      <c r="V10" s="3"/>
    </row>
    <row r="11" spans="1:22" ht="15.75" thickBot="1" x14ac:dyDescent="0.3">
      <c r="A11" s="33">
        <v>9</v>
      </c>
      <c r="B11" s="112"/>
      <c r="C11" s="18" t="s">
        <v>61</v>
      </c>
      <c r="D11" s="123" t="s">
        <v>62</v>
      </c>
      <c r="E11" s="17" t="s">
        <v>31</v>
      </c>
      <c r="F11" s="121" t="s">
        <v>63</v>
      </c>
      <c r="G11" s="64" t="s">
        <v>227</v>
      </c>
      <c r="H11" s="37" t="s">
        <v>232</v>
      </c>
      <c r="I11" s="39" t="s">
        <v>228</v>
      </c>
      <c r="J11" s="17" t="s">
        <v>173</v>
      </c>
      <c r="K11" s="39">
        <v>50</v>
      </c>
      <c r="L11" s="15">
        <v>2</v>
      </c>
      <c r="M11" s="39">
        <f t="shared" si="0"/>
        <v>10</v>
      </c>
      <c r="N11" s="97" t="s">
        <v>189</v>
      </c>
      <c r="O11" s="40">
        <v>3.2000000000000002E-3</v>
      </c>
      <c r="P11" s="41">
        <f t="shared" si="1"/>
        <v>6.4000000000000003E-3</v>
      </c>
      <c r="Q11" s="40">
        <v>3.2000000000000002E-3</v>
      </c>
      <c r="R11" s="40">
        <v>3.2000000000000002E-3</v>
      </c>
      <c r="S11" s="41">
        <f t="shared" si="3"/>
        <v>3.2000000000000001E-2</v>
      </c>
      <c r="T11" s="19"/>
      <c r="U11" s="3"/>
      <c r="V11" s="3"/>
    </row>
    <row r="12" spans="1:22" ht="15.75" thickBot="1" x14ac:dyDescent="0.3">
      <c r="A12" s="33">
        <v>10</v>
      </c>
      <c r="B12" s="113"/>
      <c r="C12" s="70" t="s">
        <v>64</v>
      </c>
      <c r="D12" s="124" t="s">
        <v>65</v>
      </c>
      <c r="E12" s="68" t="s">
        <v>31</v>
      </c>
      <c r="F12" s="68" t="s">
        <v>66</v>
      </c>
      <c r="G12" s="9" t="s">
        <v>67</v>
      </c>
      <c r="H12" s="60" t="s">
        <v>200</v>
      </c>
      <c r="I12" s="46" t="s">
        <v>175</v>
      </c>
      <c r="J12" s="68" t="s">
        <v>174</v>
      </c>
      <c r="K12" s="45">
        <v>50</v>
      </c>
      <c r="L12" s="69">
        <v>2</v>
      </c>
      <c r="M12" s="45">
        <f t="shared" si="0"/>
        <v>10</v>
      </c>
      <c r="N12" s="61" t="s">
        <v>189</v>
      </c>
      <c r="O12" s="42">
        <v>5.1000000000000004E-3</v>
      </c>
      <c r="P12" s="43">
        <f t="shared" si="1"/>
        <v>1.0200000000000001E-2</v>
      </c>
      <c r="Q12" s="43">
        <f t="shared" si="2"/>
        <v>0.255</v>
      </c>
      <c r="R12" s="42">
        <v>5.1000000000000004E-3</v>
      </c>
      <c r="S12" s="43">
        <f t="shared" si="3"/>
        <v>5.1000000000000004E-2</v>
      </c>
      <c r="T12" s="62"/>
      <c r="U12" s="3"/>
      <c r="V12" s="3"/>
    </row>
    <row r="13" spans="1:22" ht="15.75" thickBot="1" x14ac:dyDescent="0.3">
      <c r="A13" s="33">
        <v>11</v>
      </c>
      <c r="B13" s="111" t="s">
        <v>19</v>
      </c>
      <c r="C13" s="13" t="s">
        <v>68</v>
      </c>
      <c r="D13" s="122" t="s">
        <v>69</v>
      </c>
      <c r="E13" s="14" t="s">
        <v>70</v>
      </c>
      <c r="F13" s="119" t="s">
        <v>71</v>
      </c>
      <c r="G13" s="2" t="s">
        <v>72</v>
      </c>
      <c r="H13" s="50" t="s">
        <v>231</v>
      </c>
      <c r="I13" s="48" t="s">
        <v>229</v>
      </c>
      <c r="J13" s="2" t="s">
        <v>175</v>
      </c>
      <c r="K13" s="52">
        <v>40</v>
      </c>
      <c r="L13" s="67">
        <v>4</v>
      </c>
      <c r="M13" s="52">
        <f t="shared" si="0"/>
        <v>20</v>
      </c>
      <c r="N13" s="71" t="s">
        <v>189</v>
      </c>
      <c r="O13" s="54">
        <v>1.7399999999999999E-2</v>
      </c>
      <c r="P13" s="55">
        <f t="shared" si="1"/>
        <v>6.9599999999999995E-2</v>
      </c>
      <c r="Q13" s="55">
        <f t="shared" si="2"/>
        <v>0.69599999999999995</v>
      </c>
      <c r="R13" s="54">
        <v>1.7399999999999999E-2</v>
      </c>
      <c r="S13" s="55">
        <f t="shared" si="3"/>
        <v>0.34799999999999998</v>
      </c>
      <c r="T13" s="12"/>
      <c r="U13" s="3"/>
      <c r="V13" s="3"/>
    </row>
    <row r="14" spans="1:22" ht="15.75" thickBot="1" x14ac:dyDescent="0.3">
      <c r="A14" s="33">
        <v>12</v>
      </c>
      <c r="B14" s="113"/>
      <c r="C14" s="73" t="s">
        <v>73</v>
      </c>
      <c r="D14" s="124" t="s">
        <v>74</v>
      </c>
      <c r="E14" s="68" t="s">
        <v>75</v>
      </c>
      <c r="F14" s="68" t="s">
        <v>76</v>
      </c>
      <c r="G14" s="9" t="s">
        <v>77</v>
      </c>
      <c r="H14" s="60" t="s">
        <v>201</v>
      </c>
      <c r="I14" s="46" t="s">
        <v>175</v>
      </c>
      <c r="J14" s="9" t="s">
        <v>175</v>
      </c>
      <c r="K14" s="45">
        <v>12</v>
      </c>
      <c r="L14" s="69">
        <v>2</v>
      </c>
      <c r="M14" s="45">
        <f t="shared" si="0"/>
        <v>10</v>
      </c>
      <c r="N14" s="61" t="s">
        <v>189</v>
      </c>
      <c r="O14" s="42">
        <v>0.97919999999999996</v>
      </c>
      <c r="P14" s="43">
        <f t="shared" si="1"/>
        <v>1.9583999999999999</v>
      </c>
      <c r="Q14" s="43">
        <f t="shared" si="2"/>
        <v>11.750399999999999</v>
      </c>
      <c r="R14" s="42">
        <v>0.97919999999999996</v>
      </c>
      <c r="S14" s="43">
        <f t="shared" si="3"/>
        <v>9.7919999999999998</v>
      </c>
      <c r="T14" s="62"/>
      <c r="U14" s="3"/>
      <c r="V14" s="3"/>
    </row>
    <row r="15" spans="1:22" ht="15.75" thickBot="1" x14ac:dyDescent="0.3">
      <c r="A15" s="33">
        <v>13</v>
      </c>
      <c r="B15" s="96" t="s">
        <v>20</v>
      </c>
      <c r="C15" s="76" t="s">
        <v>236</v>
      </c>
      <c r="D15" s="125" t="s">
        <v>78</v>
      </c>
      <c r="E15" s="77" t="s">
        <v>51</v>
      </c>
      <c r="F15" s="77" t="s">
        <v>237</v>
      </c>
      <c r="G15" s="78" t="s">
        <v>79</v>
      </c>
      <c r="H15" s="79" t="s">
        <v>238</v>
      </c>
      <c r="I15" s="80"/>
      <c r="J15" s="77" t="s">
        <v>176</v>
      </c>
      <c r="K15" s="81">
        <v>7</v>
      </c>
      <c r="L15" s="82">
        <v>1</v>
      </c>
      <c r="M15" s="81">
        <f t="shared" si="0"/>
        <v>5</v>
      </c>
      <c r="N15" s="99" t="s">
        <v>189</v>
      </c>
      <c r="O15" s="83">
        <v>0.87980000000000003</v>
      </c>
      <c r="P15" s="84">
        <f t="shared" si="1"/>
        <v>0.87980000000000003</v>
      </c>
      <c r="Q15" s="84">
        <f t="shared" si="2"/>
        <v>6.1585999999999999</v>
      </c>
      <c r="R15" s="83">
        <v>0.87980000000000003</v>
      </c>
      <c r="S15" s="84">
        <f t="shared" si="3"/>
        <v>4.399</v>
      </c>
      <c r="T15" s="95"/>
      <c r="U15" s="3"/>
      <c r="V15" s="3"/>
    </row>
    <row r="16" spans="1:22" ht="15.75" thickBot="1" x14ac:dyDescent="0.3">
      <c r="A16" s="33">
        <v>14</v>
      </c>
      <c r="B16" s="85" t="s">
        <v>21</v>
      </c>
      <c r="C16" s="86" t="s">
        <v>80</v>
      </c>
      <c r="D16" s="126" t="s">
        <v>81</v>
      </c>
      <c r="E16" s="87" t="s">
        <v>82</v>
      </c>
      <c r="F16" s="87" t="s">
        <v>83</v>
      </c>
      <c r="G16" s="87" t="s">
        <v>84</v>
      </c>
      <c r="H16" s="88" t="s">
        <v>202</v>
      </c>
      <c r="I16" s="89" t="s">
        <v>175</v>
      </c>
      <c r="J16" s="87" t="s">
        <v>175</v>
      </c>
      <c r="K16" s="63">
        <v>10</v>
      </c>
      <c r="L16" s="90">
        <v>1</v>
      </c>
      <c r="M16" s="63">
        <f t="shared" si="0"/>
        <v>5</v>
      </c>
      <c r="N16" s="91" t="s">
        <v>189</v>
      </c>
      <c r="O16" s="92">
        <v>4.2999999999999997E-2</v>
      </c>
      <c r="P16" s="93">
        <f t="shared" si="1"/>
        <v>4.2999999999999997E-2</v>
      </c>
      <c r="Q16" s="93">
        <f t="shared" si="2"/>
        <v>0.42999999999999994</v>
      </c>
      <c r="R16" s="92">
        <v>4.2999999999999997E-2</v>
      </c>
      <c r="S16" s="93">
        <f t="shared" si="3"/>
        <v>0.21499999999999997</v>
      </c>
      <c r="T16" s="94"/>
      <c r="U16" s="3"/>
      <c r="V16" s="3"/>
    </row>
    <row r="17" spans="1:22" ht="15.75" thickBot="1" x14ac:dyDescent="0.3">
      <c r="A17" s="33">
        <v>15</v>
      </c>
      <c r="B17" s="111" t="s">
        <v>22</v>
      </c>
      <c r="C17" s="13" t="s">
        <v>85</v>
      </c>
      <c r="D17" s="122" t="s">
        <v>86</v>
      </c>
      <c r="E17" s="14" t="s">
        <v>87</v>
      </c>
      <c r="F17" s="14" t="s">
        <v>88</v>
      </c>
      <c r="G17" s="14" t="s">
        <v>89</v>
      </c>
      <c r="H17" s="1" t="s">
        <v>203</v>
      </c>
      <c r="I17" s="1" t="s">
        <v>175</v>
      </c>
      <c r="J17" s="14" t="s">
        <v>177</v>
      </c>
      <c r="K17" s="52">
        <v>50</v>
      </c>
      <c r="L17" s="67">
        <v>1</v>
      </c>
      <c r="M17" s="52">
        <f t="shared" si="0"/>
        <v>5</v>
      </c>
      <c r="N17" s="71" t="s">
        <v>189</v>
      </c>
      <c r="O17" s="54">
        <v>5.8999999999999999E-3</v>
      </c>
      <c r="P17" s="55">
        <f t="shared" si="1"/>
        <v>5.8999999999999999E-3</v>
      </c>
      <c r="Q17" s="55">
        <f t="shared" si="2"/>
        <v>0.29499999999999998</v>
      </c>
      <c r="R17" s="54">
        <v>5.8999999999999999E-3</v>
      </c>
      <c r="S17" s="55">
        <f t="shared" si="3"/>
        <v>2.9499999999999998E-2</v>
      </c>
      <c r="T17" s="72"/>
      <c r="U17" s="3"/>
      <c r="V17" s="3"/>
    </row>
    <row r="18" spans="1:22" ht="15.75" thickBot="1" x14ac:dyDescent="0.3">
      <c r="A18" s="33">
        <v>16</v>
      </c>
      <c r="B18" s="112"/>
      <c r="C18" s="18" t="s">
        <v>90</v>
      </c>
      <c r="D18" s="123" t="s">
        <v>91</v>
      </c>
      <c r="E18" s="17" t="s">
        <v>87</v>
      </c>
      <c r="F18" s="17" t="s">
        <v>92</v>
      </c>
      <c r="G18" s="4" t="s">
        <v>93</v>
      </c>
      <c r="H18" s="51" t="s">
        <v>204</v>
      </c>
      <c r="I18" s="39" t="s">
        <v>175</v>
      </c>
      <c r="J18" s="17" t="s">
        <v>178</v>
      </c>
      <c r="K18" s="39">
        <v>10</v>
      </c>
      <c r="L18" s="15">
        <v>1</v>
      </c>
      <c r="M18" s="39">
        <f t="shared" si="0"/>
        <v>5</v>
      </c>
      <c r="N18" s="59" t="s">
        <v>189</v>
      </c>
      <c r="O18" s="40">
        <v>6.7299999999999999E-2</v>
      </c>
      <c r="P18" s="41">
        <f t="shared" si="1"/>
        <v>6.7299999999999999E-2</v>
      </c>
      <c r="Q18" s="41">
        <f t="shared" si="2"/>
        <v>0.67300000000000004</v>
      </c>
      <c r="R18" s="40">
        <v>6.7299999999999999E-2</v>
      </c>
      <c r="S18" s="41">
        <f t="shared" si="3"/>
        <v>0.33650000000000002</v>
      </c>
      <c r="T18" s="20"/>
      <c r="U18" s="3"/>
      <c r="V18" s="3"/>
    </row>
    <row r="19" spans="1:22" ht="15.75" thickBot="1" x14ac:dyDescent="0.3">
      <c r="A19" s="33">
        <v>17</v>
      </c>
      <c r="B19" s="112"/>
      <c r="C19" s="18" t="s">
        <v>94</v>
      </c>
      <c r="D19" s="123" t="s">
        <v>95</v>
      </c>
      <c r="E19" s="17" t="s">
        <v>87</v>
      </c>
      <c r="F19" s="17" t="s">
        <v>96</v>
      </c>
      <c r="G19" s="4" t="s">
        <v>42</v>
      </c>
      <c r="H19" s="39" t="s">
        <v>205</v>
      </c>
      <c r="I19" s="51" t="s">
        <v>175</v>
      </c>
      <c r="J19" s="17" t="s">
        <v>179</v>
      </c>
      <c r="K19" s="39">
        <v>100</v>
      </c>
      <c r="L19" s="15">
        <v>1</v>
      </c>
      <c r="M19" s="39">
        <f t="shared" si="0"/>
        <v>5</v>
      </c>
      <c r="N19" s="59" t="s">
        <v>189</v>
      </c>
      <c r="O19" s="40">
        <v>2.3999999999999998E-3</v>
      </c>
      <c r="P19" s="41">
        <f t="shared" si="1"/>
        <v>2.3999999999999998E-3</v>
      </c>
      <c r="Q19" s="41">
        <f t="shared" si="2"/>
        <v>0.24</v>
      </c>
      <c r="R19" s="40">
        <v>2.3999999999999998E-3</v>
      </c>
      <c r="S19" s="41">
        <f t="shared" si="3"/>
        <v>1.1999999999999999E-2</v>
      </c>
      <c r="T19" s="49"/>
      <c r="U19" s="3"/>
      <c r="V19" s="3"/>
    </row>
    <row r="20" spans="1:22" ht="15.75" thickBot="1" x14ac:dyDescent="0.3">
      <c r="A20" s="33">
        <v>18</v>
      </c>
      <c r="B20" s="112"/>
      <c r="C20" s="18" t="s">
        <v>97</v>
      </c>
      <c r="D20" s="123" t="s">
        <v>98</v>
      </c>
      <c r="E20" s="17" t="s">
        <v>87</v>
      </c>
      <c r="F20" s="17" t="s">
        <v>99</v>
      </c>
      <c r="G20" s="4" t="s">
        <v>42</v>
      </c>
      <c r="H20" s="37" t="s">
        <v>206</v>
      </c>
      <c r="I20" s="51" t="s">
        <v>175</v>
      </c>
      <c r="J20" s="17" t="s">
        <v>180</v>
      </c>
      <c r="K20" s="39">
        <v>100</v>
      </c>
      <c r="L20" s="15">
        <v>6</v>
      </c>
      <c r="M20" s="39">
        <f t="shared" si="0"/>
        <v>30</v>
      </c>
      <c r="N20" s="57" t="s">
        <v>189</v>
      </c>
      <c r="O20" s="40">
        <v>1.4E-3</v>
      </c>
      <c r="P20" s="41">
        <f t="shared" si="1"/>
        <v>8.3999999999999995E-3</v>
      </c>
      <c r="Q20" s="41">
        <f t="shared" si="2"/>
        <v>0.13999999999999999</v>
      </c>
      <c r="R20" s="40">
        <v>1.4E-3</v>
      </c>
      <c r="S20" s="41">
        <f t="shared" si="3"/>
        <v>4.2000000000000003E-2</v>
      </c>
      <c r="T20" s="49"/>
      <c r="U20" s="3"/>
      <c r="V20" s="3"/>
    </row>
    <row r="21" spans="1:22" ht="15.75" thickBot="1" x14ac:dyDescent="0.3">
      <c r="A21" s="33">
        <v>19</v>
      </c>
      <c r="B21" s="112"/>
      <c r="C21" s="16" t="s">
        <v>239</v>
      </c>
      <c r="D21" s="38" t="s">
        <v>100</v>
      </c>
      <c r="E21" s="6" t="s">
        <v>240</v>
      </c>
      <c r="F21" s="6" t="s">
        <v>223</v>
      </c>
      <c r="G21" s="4" t="s">
        <v>225</v>
      </c>
      <c r="H21" s="37" t="s">
        <v>224</v>
      </c>
      <c r="I21" s="37" t="s">
        <v>175</v>
      </c>
      <c r="J21" s="17" t="s">
        <v>181</v>
      </c>
      <c r="K21" s="39">
        <v>40</v>
      </c>
      <c r="L21" s="15">
        <v>4</v>
      </c>
      <c r="M21" s="39">
        <f t="shared" si="0"/>
        <v>20</v>
      </c>
      <c r="N21" s="57" t="s">
        <v>189</v>
      </c>
      <c r="O21" s="40">
        <v>3.9600000000000003E-2</v>
      </c>
      <c r="P21" s="41">
        <f t="shared" si="1"/>
        <v>0.15840000000000001</v>
      </c>
      <c r="Q21" s="41">
        <f t="shared" si="2"/>
        <v>1.5840000000000001</v>
      </c>
      <c r="R21" s="40">
        <v>3.9600000000000003E-2</v>
      </c>
      <c r="S21" s="41">
        <f t="shared" si="3"/>
        <v>0.79200000000000004</v>
      </c>
      <c r="T21" s="49"/>
      <c r="U21" s="3"/>
      <c r="V21" s="3"/>
    </row>
    <row r="22" spans="1:22" ht="15.75" thickBot="1" x14ac:dyDescent="0.3">
      <c r="A22" s="33">
        <v>20</v>
      </c>
      <c r="B22" s="112"/>
      <c r="C22" s="18" t="s">
        <v>101</v>
      </c>
      <c r="D22" s="123" t="s">
        <v>102</v>
      </c>
      <c r="E22" s="17" t="s">
        <v>87</v>
      </c>
      <c r="F22" s="17" t="s">
        <v>103</v>
      </c>
      <c r="G22" s="4" t="s">
        <v>42</v>
      </c>
      <c r="H22" s="37" t="s">
        <v>207</v>
      </c>
      <c r="I22" s="51" t="s">
        <v>175</v>
      </c>
      <c r="J22" s="17" t="s">
        <v>182</v>
      </c>
      <c r="K22" s="39">
        <v>100</v>
      </c>
      <c r="L22" s="15">
        <v>4</v>
      </c>
      <c r="M22" s="39">
        <f t="shared" si="0"/>
        <v>20</v>
      </c>
      <c r="N22" s="57" t="s">
        <v>189</v>
      </c>
      <c r="O22" s="40">
        <v>1.4E-3</v>
      </c>
      <c r="P22" s="41">
        <f t="shared" si="1"/>
        <v>5.5999999999999999E-3</v>
      </c>
      <c r="Q22" s="41">
        <f t="shared" si="2"/>
        <v>0.13999999999999999</v>
      </c>
      <c r="R22" s="40">
        <v>1.4E-3</v>
      </c>
      <c r="S22" s="41">
        <f t="shared" si="3"/>
        <v>2.8000000000000001E-2</v>
      </c>
      <c r="T22" s="49"/>
      <c r="U22" s="3"/>
      <c r="V22" s="3"/>
    </row>
    <row r="23" spans="1:22" ht="15.75" thickBot="1" x14ac:dyDescent="0.3">
      <c r="A23" s="33">
        <v>21</v>
      </c>
      <c r="B23" s="112"/>
      <c r="C23" s="18" t="s">
        <v>104</v>
      </c>
      <c r="D23" s="123" t="s">
        <v>105</v>
      </c>
      <c r="E23" s="17" t="s">
        <v>87</v>
      </c>
      <c r="F23" s="17" t="s">
        <v>106</v>
      </c>
      <c r="G23" s="4" t="s">
        <v>42</v>
      </c>
      <c r="H23" s="37" t="s">
        <v>208</v>
      </c>
      <c r="I23" s="5" t="s">
        <v>175</v>
      </c>
      <c r="J23" s="17" t="s">
        <v>183</v>
      </c>
      <c r="K23" s="39">
        <v>50</v>
      </c>
      <c r="L23" s="15">
        <v>4</v>
      </c>
      <c r="M23" s="39">
        <f t="shared" si="0"/>
        <v>20</v>
      </c>
      <c r="N23" s="59" t="s">
        <v>189</v>
      </c>
      <c r="O23" s="40">
        <v>1.5800000000000002E-2</v>
      </c>
      <c r="P23" s="41">
        <f t="shared" si="1"/>
        <v>6.3200000000000006E-2</v>
      </c>
      <c r="Q23" s="41">
        <f t="shared" si="2"/>
        <v>0.79</v>
      </c>
      <c r="R23" s="40">
        <v>1.5800000000000002E-2</v>
      </c>
      <c r="S23" s="41">
        <f t="shared" si="3"/>
        <v>0.31600000000000006</v>
      </c>
      <c r="T23" s="49"/>
      <c r="U23" s="3"/>
      <c r="V23" s="3"/>
    </row>
    <row r="24" spans="1:22" ht="15.75" thickBot="1" x14ac:dyDescent="0.3">
      <c r="A24" s="33">
        <v>22</v>
      </c>
      <c r="B24" s="112"/>
      <c r="C24" s="18" t="s">
        <v>107</v>
      </c>
      <c r="D24" s="123" t="s">
        <v>108</v>
      </c>
      <c r="E24" s="17" t="s">
        <v>87</v>
      </c>
      <c r="F24" s="17" t="s">
        <v>109</v>
      </c>
      <c r="G24" s="4" t="s">
        <v>42</v>
      </c>
      <c r="H24" s="37" t="s">
        <v>209</v>
      </c>
      <c r="I24" s="5" t="s">
        <v>175</v>
      </c>
      <c r="J24" s="17" t="s">
        <v>184</v>
      </c>
      <c r="K24" s="5">
        <v>100</v>
      </c>
      <c r="L24" s="15">
        <v>1</v>
      </c>
      <c r="M24" s="39">
        <f t="shared" si="0"/>
        <v>5</v>
      </c>
      <c r="N24" s="59" t="s">
        <v>189</v>
      </c>
      <c r="O24" s="40">
        <v>1.9E-3</v>
      </c>
      <c r="P24" s="41">
        <f t="shared" si="1"/>
        <v>1.9E-3</v>
      </c>
      <c r="Q24" s="41">
        <f t="shared" si="2"/>
        <v>0.19</v>
      </c>
      <c r="R24" s="40">
        <v>1.9E-3</v>
      </c>
      <c r="S24" s="41">
        <f t="shared" si="3"/>
        <v>9.4999999999999998E-3</v>
      </c>
      <c r="T24" s="49"/>
      <c r="U24" s="3"/>
      <c r="V24" s="3"/>
    </row>
    <row r="25" spans="1:22" ht="15.75" thickBot="1" x14ac:dyDescent="0.3">
      <c r="A25" s="33">
        <v>23</v>
      </c>
      <c r="B25" s="113"/>
      <c r="C25" s="70" t="s">
        <v>110</v>
      </c>
      <c r="D25" s="124" t="s">
        <v>111</v>
      </c>
      <c r="E25" s="68" t="s">
        <v>87</v>
      </c>
      <c r="F25" s="68" t="s">
        <v>112</v>
      </c>
      <c r="G25" s="9" t="s">
        <v>42</v>
      </c>
      <c r="H25" s="60" t="s">
        <v>210</v>
      </c>
      <c r="I25" s="8" t="s">
        <v>175</v>
      </c>
      <c r="J25" s="68" t="s">
        <v>185</v>
      </c>
      <c r="K25" s="8">
        <v>100</v>
      </c>
      <c r="L25" s="69">
        <v>1</v>
      </c>
      <c r="M25" s="45">
        <f t="shared" si="0"/>
        <v>5</v>
      </c>
      <c r="N25" s="61" t="s">
        <v>189</v>
      </c>
      <c r="O25" s="42">
        <v>1.5E-3</v>
      </c>
      <c r="P25" s="43">
        <f t="shared" si="1"/>
        <v>1.5E-3</v>
      </c>
      <c r="Q25" s="43">
        <f t="shared" si="2"/>
        <v>0.15</v>
      </c>
      <c r="R25" s="42">
        <v>1.5E-3</v>
      </c>
      <c r="S25" s="43">
        <f t="shared" si="3"/>
        <v>7.4999999999999997E-3</v>
      </c>
      <c r="T25" s="62"/>
      <c r="U25" s="3"/>
      <c r="V25" s="3"/>
    </row>
    <row r="26" spans="1:22" ht="15.75" thickBot="1" x14ac:dyDescent="0.3">
      <c r="A26" s="33">
        <v>24</v>
      </c>
      <c r="B26" s="111" t="s">
        <v>190</v>
      </c>
      <c r="C26" s="13" t="s">
        <v>113</v>
      </c>
      <c r="D26" s="14" t="s">
        <v>114</v>
      </c>
      <c r="E26" s="14" t="s">
        <v>51</v>
      </c>
      <c r="F26" s="14" t="s">
        <v>115</v>
      </c>
      <c r="G26" s="2" t="s">
        <v>116</v>
      </c>
      <c r="H26" s="50" t="s">
        <v>230</v>
      </c>
      <c r="I26" s="1" t="s">
        <v>175</v>
      </c>
      <c r="J26" s="2" t="s">
        <v>175</v>
      </c>
      <c r="K26" s="1">
        <v>12</v>
      </c>
      <c r="L26" s="67">
        <v>2</v>
      </c>
      <c r="M26" s="52">
        <f t="shared" si="0"/>
        <v>10</v>
      </c>
      <c r="N26" s="98" t="s">
        <v>189</v>
      </c>
      <c r="O26" s="54">
        <v>1.0188999999999999</v>
      </c>
      <c r="P26" s="55">
        <f t="shared" si="1"/>
        <v>2.0377999999999998</v>
      </c>
      <c r="Q26" s="55">
        <f t="shared" si="2"/>
        <v>12.226799999999999</v>
      </c>
      <c r="R26" s="54">
        <v>0.79349999999999998</v>
      </c>
      <c r="S26" s="55">
        <f t="shared" si="3"/>
        <v>7.9349999999999996</v>
      </c>
      <c r="T26" s="56"/>
      <c r="U26" s="3"/>
      <c r="V26" s="3"/>
    </row>
    <row r="27" spans="1:22" ht="15.75" thickBot="1" x14ac:dyDescent="0.3">
      <c r="A27" s="33">
        <v>25</v>
      </c>
      <c r="B27" s="113"/>
      <c r="C27" s="73" t="s">
        <v>117</v>
      </c>
      <c r="D27" s="10" t="s">
        <v>118</v>
      </c>
      <c r="E27" s="10" t="s">
        <v>51</v>
      </c>
      <c r="F27" s="10" t="s">
        <v>119</v>
      </c>
      <c r="G27" s="9" t="s">
        <v>211</v>
      </c>
      <c r="H27" s="60" t="s">
        <v>212</v>
      </c>
      <c r="I27" s="8" t="s">
        <v>175</v>
      </c>
      <c r="J27" s="9" t="s">
        <v>175</v>
      </c>
      <c r="K27" s="8">
        <v>7</v>
      </c>
      <c r="L27" s="69">
        <v>1</v>
      </c>
      <c r="M27" s="45">
        <f t="shared" si="0"/>
        <v>5</v>
      </c>
      <c r="N27" s="61" t="s">
        <v>189</v>
      </c>
      <c r="O27" s="42">
        <v>0.29239999999999999</v>
      </c>
      <c r="P27" s="43">
        <f t="shared" si="1"/>
        <v>0.29239999999999999</v>
      </c>
      <c r="Q27" s="43">
        <f t="shared" si="2"/>
        <v>2.0468000000000002</v>
      </c>
      <c r="R27" s="42">
        <v>0.29239999999999999</v>
      </c>
      <c r="S27" s="43">
        <f t="shared" si="3"/>
        <v>1.462</v>
      </c>
      <c r="T27" s="62"/>
      <c r="U27" s="3"/>
      <c r="V27" s="3"/>
    </row>
    <row r="28" spans="1:22" ht="15.75" thickBot="1" x14ac:dyDescent="0.3">
      <c r="A28" s="33">
        <v>26</v>
      </c>
      <c r="B28" s="111" t="s">
        <v>191</v>
      </c>
      <c r="C28" s="74" t="s">
        <v>121</v>
      </c>
      <c r="D28" s="14" t="s">
        <v>122</v>
      </c>
      <c r="E28" s="14" t="s">
        <v>51</v>
      </c>
      <c r="F28" s="14" t="s">
        <v>123</v>
      </c>
      <c r="G28" s="2" t="s">
        <v>120</v>
      </c>
      <c r="H28" s="50" t="s">
        <v>213</v>
      </c>
      <c r="I28" s="1" t="s">
        <v>175</v>
      </c>
      <c r="J28" s="11" t="s">
        <v>186</v>
      </c>
      <c r="K28" s="1">
        <v>7</v>
      </c>
      <c r="L28" s="67">
        <v>1</v>
      </c>
      <c r="M28" s="52">
        <f t="shared" si="0"/>
        <v>5</v>
      </c>
      <c r="N28" s="71" t="s">
        <v>189</v>
      </c>
      <c r="O28" s="54">
        <v>0.49590000000000001</v>
      </c>
      <c r="P28" s="55">
        <f t="shared" si="1"/>
        <v>0.49590000000000001</v>
      </c>
      <c r="Q28" s="55">
        <f t="shared" si="2"/>
        <v>3.4713000000000003</v>
      </c>
      <c r="R28" s="54">
        <v>0.49590000000000001</v>
      </c>
      <c r="S28" s="55">
        <f t="shared" si="3"/>
        <v>2.4794999999999998</v>
      </c>
      <c r="T28" s="56"/>
      <c r="U28" s="3"/>
      <c r="V28" s="3"/>
    </row>
    <row r="29" spans="1:22" ht="15.75" thickBot="1" x14ac:dyDescent="0.3">
      <c r="A29" s="33">
        <v>27</v>
      </c>
      <c r="B29" s="113"/>
      <c r="C29" s="73" t="s">
        <v>124</v>
      </c>
      <c r="D29" s="68" t="s">
        <v>125</v>
      </c>
      <c r="E29" s="68" t="s">
        <v>51</v>
      </c>
      <c r="F29" s="68" t="s">
        <v>126</v>
      </c>
      <c r="G29" s="9" t="s">
        <v>127</v>
      </c>
      <c r="H29" s="60" t="s">
        <v>214</v>
      </c>
      <c r="I29" s="8" t="s">
        <v>175</v>
      </c>
      <c r="J29" s="9" t="s">
        <v>187</v>
      </c>
      <c r="K29" s="8">
        <v>7</v>
      </c>
      <c r="L29" s="69">
        <v>1</v>
      </c>
      <c r="M29" s="45">
        <f t="shared" si="0"/>
        <v>5</v>
      </c>
      <c r="N29" s="61" t="s">
        <v>189</v>
      </c>
      <c r="O29" s="42">
        <v>0.4148</v>
      </c>
      <c r="P29" s="43">
        <f t="shared" si="1"/>
        <v>0.4148</v>
      </c>
      <c r="Q29" s="43">
        <f t="shared" si="2"/>
        <v>2.9036</v>
      </c>
      <c r="R29" s="42">
        <v>0.4148</v>
      </c>
      <c r="S29" s="43">
        <f t="shared" si="3"/>
        <v>2.0739999999999998</v>
      </c>
      <c r="T29" s="62"/>
      <c r="U29" s="3"/>
      <c r="V29" s="3"/>
    </row>
    <row r="30" spans="1:22" ht="15.75" thickBot="1" x14ac:dyDescent="0.3">
      <c r="A30" s="33">
        <v>28</v>
      </c>
      <c r="B30" s="111" t="s">
        <v>23</v>
      </c>
      <c r="C30" s="13" t="s">
        <v>128</v>
      </c>
      <c r="D30" s="14" t="s">
        <v>129</v>
      </c>
      <c r="E30" s="14" t="s">
        <v>130</v>
      </c>
      <c r="F30" s="14" t="s">
        <v>131</v>
      </c>
      <c r="G30" s="2" t="s">
        <v>132</v>
      </c>
      <c r="H30" s="50" t="s">
        <v>215</v>
      </c>
      <c r="I30" s="50" t="s">
        <v>175</v>
      </c>
      <c r="J30" s="2" t="s">
        <v>175</v>
      </c>
      <c r="K30" s="1">
        <v>6</v>
      </c>
      <c r="L30" s="67">
        <v>1</v>
      </c>
      <c r="M30" s="52">
        <f t="shared" si="0"/>
        <v>5</v>
      </c>
      <c r="N30" s="71" t="s">
        <v>189</v>
      </c>
      <c r="O30" s="54">
        <v>3.9186000000000001</v>
      </c>
      <c r="P30" s="55">
        <f t="shared" si="1"/>
        <v>3.9186000000000001</v>
      </c>
      <c r="Q30" s="55">
        <f t="shared" si="2"/>
        <v>23.511600000000001</v>
      </c>
      <c r="R30" s="54">
        <v>3.9186000000000001</v>
      </c>
      <c r="S30" s="55">
        <f t="shared" si="3"/>
        <v>19.593</v>
      </c>
      <c r="T30" s="56"/>
      <c r="U30" s="3"/>
      <c r="V30" s="3"/>
    </row>
    <row r="31" spans="1:22" ht="15.75" thickBot="1" x14ac:dyDescent="0.3">
      <c r="A31" s="33">
        <v>29</v>
      </c>
      <c r="B31" s="112"/>
      <c r="C31" s="18" t="s">
        <v>133</v>
      </c>
      <c r="D31" s="17" t="s">
        <v>134</v>
      </c>
      <c r="E31" s="17" t="s">
        <v>135</v>
      </c>
      <c r="F31" s="17" t="s">
        <v>133</v>
      </c>
      <c r="G31" s="4" t="s">
        <v>136</v>
      </c>
      <c r="H31" s="37" t="s">
        <v>216</v>
      </c>
      <c r="I31" s="37" t="s">
        <v>175</v>
      </c>
      <c r="J31" s="4" t="s">
        <v>175</v>
      </c>
      <c r="K31" s="39">
        <v>6</v>
      </c>
      <c r="L31" s="15">
        <v>1</v>
      </c>
      <c r="M31" s="39">
        <f t="shared" si="0"/>
        <v>5</v>
      </c>
      <c r="N31" s="57" t="s">
        <v>189</v>
      </c>
      <c r="O31" s="40">
        <v>15.131399999999999</v>
      </c>
      <c r="P31" s="41">
        <f t="shared" si="1"/>
        <v>15.131399999999999</v>
      </c>
      <c r="Q31" s="41">
        <f t="shared" si="2"/>
        <v>90.788399999999996</v>
      </c>
      <c r="R31" s="40">
        <v>15.131399999999999</v>
      </c>
      <c r="S31" s="41">
        <f t="shared" si="3"/>
        <v>75.656999999999996</v>
      </c>
      <c r="T31" s="49"/>
      <c r="U31" s="3"/>
      <c r="V31" s="3"/>
    </row>
    <row r="32" spans="1:22" ht="15.75" thickBot="1" x14ac:dyDescent="0.3">
      <c r="A32" s="33">
        <v>30</v>
      </c>
      <c r="B32" s="112"/>
      <c r="C32" s="18" t="s">
        <v>137</v>
      </c>
      <c r="D32" s="17" t="s">
        <v>138</v>
      </c>
      <c r="E32" s="17" t="s">
        <v>139</v>
      </c>
      <c r="F32" s="17" t="s">
        <v>140</v>
      </c>
      <c r="G32" s="4" t="s">
        <v>72</v>
      </c>
      <c r="H32" s="37" t="s">
        <v>217</v>
      </c>
      <c r="I32" s="38" t="s">
        <v>175</v>
      </c>
      <c r="J32" s="4" t="s">
        <v>175</v>
      </c>
      <c r="K32" s="39">
        <v>6</v>
      </c>
      <c r="L32" s="15">
        <v>1</v>
      </c>
      <c r="M32" s="39">
        <f t="shared" si="0"/>
        <v>5</v>
      </c>
      <c r="N32" s="57" t="s">
        <v>189</v>
      </c>
      <c r="O32" s="40">
        <v>0.30049999999999999</v>
      </c>
      <c r="P32" s="41">
        <f t="shared" si="1"/>
        <v>0.30049999999999999</v>
      </c>
      <c r="Q32" s="41">
        <f t="shared" si="2"/>
        <v>1.8029999999999999</v>
      </c>
      <c r="R32" s="40">
        <v>0.30049999999999999</v>
      </c>
      <c r="S32" s="41">
        <f t="shared" si="3"/>
        <v>1.5024999999999999</v>
      </c>
      <c r="T32" s="49"/>
      <c r="U32" s="3"/>
      <c r="V32" s="3"/>
    </row>
    <row r="33" spans="1:22" ht="15.75" thickBot="1" x14ac:dyDescent="0.3">
      <c r="A33" s="33">
        <v>31</v>
      </c>
      <c r="B33" s="112"/>
      <c r="C33" s="16" t="s">
        <v>141</v>
      </c>
      <c r="D33" s="6" t="s">
        <v>142</v>
      </c>
      <c r="E33" s="6" t="s">
        <v>51</v>
      </c>
      <c r="F33" s="6" t="s">
        <v>143</v>
      </c>
      <c r="G33" s="4" t="s">
        <v>144</v>
      </c>
      <c r="H33" s="37" t="s">
        <v>218</v>
      </c>
      <c r="I33" s="51" t="s">
        <v>175</v>
      </c>
      <c r="J33" s="4" t="s">
        <v>175</v>
      </c>
      <c r="K33" s="39">
        <v>6</v>
      </c>
      <c r="L33" s="15">
        <v>4</v>
      </c>
      <c r="M33" s="39">
        <f t="shared" si="0"/>
        <v>20</v>
      </c>
      <c r="N33" s="57" t="s">
        <v>189</v>
      </c>
      <c r="O33" s="40">
        <v>0.32629999999999998</v>
      </c>
      <c r="P33" s="41">
        <f t="shared" si="1"/>
        <v>1.3051999999999999</v>
      </c>
      <c r="Q33" s="41">
        <f t="shared" si="2"/>
        <v>1.9577999999999998</v>
      </c>
      <c r="R33" s="40">
        <v>0.32629999999999998</v>
      </c>
      <c r="S33" s="41">
        <f t="shared" si="3"/>
        <v>6.5259999999999998</v>
      </c>
      <c r="T33" s="49"/>
      <c r="U33" s="3"/>
      <c r="V33" s="3"/>
    </row>
    <row r="34" spans="1:22" ht="15.75" thickBot="1" x14ac:dyDescent="0.3">
      <c r="A34" s="33">
        <v>32</v>
      </c>
      <c r="B34" s="112"/>
      <c r="C34" s="18" t="s">
        <v>145</v>
      </c>
      <c r="D34" s="17" t="s">
        <v>146</v>
      </c>
      <c r="E34" s="17" t="s">
        <v>147</v>
      </c>
      <c r="F34" s="17" t="s">
        <v>148</v>
      </c>
      <c r="G34" s="4" t="s">
        <v>132</v>
      </c>
      <c r="H34" s="37" t="s">
        <v>219</v>
      </c>
      <c r="I34" s="5" t="s">
        <v>175</v>
      </c>
      <c r="J34" s="4" t="s">
        <v>175</v>
      </c>
      <c r="K34" s="39">
        <v>6</v>
      </c>
      <c r="L34" s="15">
        <v>1</v>
      </c>
      <c r="M34" s="39">
        <f t="shared" si="0"/>
        <v>5</v>
      </c>
      <c r="N34" s="57" t="s">
        <v>189</v>
      </c>
      <c r="O34" s="40">
        <v>1.3868</v>
      </c>
      <c r="P34" s="41">
        <f t="shared" si="1"/>
        <v>1.3868</v>
      </c>
      <c r="Q34" s="41">
        <f t="shared" si="2"/>
        <v>8.3208000000000002</v>
      </c>
      <c r="R34" s="40">
        <v>1.3868</v>
      </c>
      <c r="S34" s="41">
        <f t="shared" si="3"/>
        <v>6.9340000000000002</v>
      </c>
      <c r="T34" s="49"/>
      <c r="U34" s="3"/>
      <c r="V34" s="3"/>
    </row>
    <row r="35" spans="1:22" ht="15.75" thickBot="1" x14ac:dyDescent="0.3">
      <c r="A35" s="33">
        <v>33</v>
      </c>
      <c r="B35" s="113"/>
      <c r="C35" s="110" t="s">
        <v>149</v>
      </c>
      <c r="D35" s="100" t="s">
        <v>150</v>
      </c>
      <c r="E35" s="101" t="s">
        <v>151</v>
      </c>
      <c r="F35" s="100" t="s">
        <v>152</v>
      </c>
      <c r="G35" s="102" t="s">
        <v>153</v>
      </c>
      <c r="H35" s="103"/>
      <c r="I35" s="102"/>
      <c r="J35" s="102" t="s">
        <v>175</v>
      </c>
      <c r="K35" s="104"/>
      <c r="L35" s="105">
        <v>5</v>
      </c>
      <c r="M35" s="104">
        <f t="shared" si="0"/>
        <v>25</v>
      </c>
      <c r="N35" s="106"/>
      <c r="O35" s="107"/>
      <c r="P35" s="108">
        <f t="shared" si="1"/>
        <v>0</v>
      </c>
      <c r="Q35" s="108">
        <f t="shared" si="2"/>
        <v>0</v>
      </c>
      <c r="R35" s="107"/>
      <c r="S35" s="108">
        <f t="shared" si="3"/>
        <v>0</v>
      </c>
      <c r="T35" s="109" t="s">
        <v>233</v>
      </c>
      <c r="U35" s="3"/>
      <c r="V35" s="3"/>
    </row>
    <row r="36" spans="1:22" ht="15.75" thickBot="1" x14ac:dyDescent="0.3">
      <c r="A36" s="33">
        <v>34</v>
      </c>
      <c r="B36" s="111" t="s">
        <v>24</v>
      </c>
      <c r="C36" s="13" t="s">
        <v>154</v>
      </c>
      <c r="D36" s="14" t="s">
        <v>155</v>
      </c>
      <c r="E36" s="14" t="s">
        <v>51</v>
      </c>
      <c r="F36" s="14" t="s">
        <v>156</v>
      </c>
      <c r="G36" s="2" t="s">
        <v>93</v>
      </c>
      <c r="H36" s="50" t="s">
        <v>220</v>
      </c>
      <c r="I36" s="1" t="s">
        <v>175</v>
      </c>
      <c r="J36" s="2" t="s">
        <v>175</v>
      </c>
      <c r="K36" s="52">
        <v>30</v>
      </c>
      <c r="L36" s="67">
        <v>5</v>
      </c>
      <c r="M36" s="52">
        <f t="shared" si="0"/>
        <v>25</v>
      </c>
      <c r="N36" s="71" t="s">
        <v>189</v>
      </c>
      <c r="O36" s="75">
        <v>9.8900000000000002E-2</v>
      </c>
      <c r="P36" s="55">
        <f t="shared" si="1"/>
        <v>0.4945</v>
      </c>
      <c r="Q36" s="55">
        <f t="shared" si="2"/>
        <v>2.9670000000000001</v>
      </c>
      <c r="R36" s="75">
        <v>9.8900000000000002E-2</v>
      </c>
      <c r="S36" s="55">
        <f t="shared" si="3"/>
        <v>2.4725000000000001</v>
      </c>
      <c r="T36" s="72"/>
      <c r="U36" s="3"/>
      <c r="V36" s="3"/>
    </row>
    <row r="37" spans="1:22" ht="15.75" thickBot="1" x14ac:dyDescent="0.3">
      <c r="A37" s="33">
        <v>35</v>
      </c>
      <c r="B37" s="112"/>
      <c r="C37" s="18" t="s">
        <v>157</v>
      </c>
      <c r="D37" s="17" t="s">
        <v>158</v>
      </c>
      <c r="E37" s="17" t="s">
        <v>51</v>
      </c>
      <c r="F37" s="17" t="s">
        <v>159</v>
      </c>
      <c r="G37" s="4" t="s">
        <v>221</v>
      </c>
      <c r="H37" s="37" t="s">
        <v>222</v>
      </c>
      <c r="I37" s="5" t="s">
        <v>175</v>
      </c>
      <c r="J37" s="4" t="s">
        <v>175</v>
      </c>
      <c r="K37" s="39">
        <v>7</v>
      </c>
      <c r="L37" s="15">
        <v>1</v>
      </c>
      <c r="M37" s="39">
        <f t="shared" si="0"/>
        <v>5</v>
      </c>
      <c r="N37" s="59" t="s">
        <v>189</v>
      </c>
      <c r="O37" s="40">
        <v>0.27289999999999998</v>
      </c>
      <c r="P37" s="41">
        <f t="shared" si="1"/>
        <v>0.27289999999999998</v>
      </c>
      <c r="Q37" s="41">
        <f t="shared" si="2"/>
        <v>1.9102999999999999</v>
      </c>
      <c r="R37" s="40">
        <v>0.27289999999999998</v>
      </c>
      <c r="S37" s="41">
        <f t="shared" si="3"/>
        <v>1.3644999999999998</v>
      </c>
      <c r="T37" s="49"/>
      <c r="U37" s="3"/>
      <c r="V37" s="3"/>
    </row>
    <row r="38" spans="1:22" ht="15.75" thickBot="1" x14ac:dyDescent="0.3">
      <c r="A38" s="33">
        <v>36</v>
      </c>
      <c r="B38" s="112"/>
      <c r="C38" s="18" t="s">
        <v>160</v>
      </c>
      <c r="D38" s="17" t="s">
        <v>161</v>
      </c>
      <c r="E38" s="17" t="s">
        <v>51</v>
      </c>
      <c r="F38" s="17" t="s">
        <v>235</v>
      </c>
      <c r="G38" s="4" t="s">
        <v>162</v>
      </c>
      <c r="H38" s="37" t="s">
        <v>234</v>
      </c>
      <c r="I38" s="5"/>
      <c r="J38" s="4" t="s">
        <v>188</v>
      </c>
      <c r="K38" s="39">
        <v>7</v>
      </c>
      <c r="L38" s="15">
        <v>1</v>
      </c>
      <c r="M38" s="39">
        <f t="shared" si="0"/>
        <v>5</v>
      </c>
      <c r="N38" s="59" t="s">
        <v>189</v>
      </c>
      <c r="O38" s="40">
        <v>0.1804</v>
      </c>
      <c r="P38" s="41">
        <f t="shared" si="1"/>
        <v>0.1804</v>
      </c>
      <c r="Q38" s="41">
        <f t="shared" si="2"/>
        <v>1.2627999999999999</v>
      </c>
      <c r="R38" s="40">
        <v>0.14430000000000001</v>
      </c>
      <c r="S38" s="41">
        <f t="shared" si="3"/>
        <v>0.72150000000000003</v>
      </c>
      <c r="T38" s="49"/>
      <c r="U38" s="3"/>
      <c r="V38" s="3"/>
    </row>
    <row r="39" spans="1:22" ht="15.75" thickBot="1" x14ac:dyDescent="0.3">
      <c r="A39" s="33">
        <v>37</v>
      </c>
      <c r="B39" s="113"/>
      <c r="C39" s="70" t="s">
        <v>163</v>
      </c>
      <c r="D39" s="68" t="s">
        <v>164</v>
      </c>
      <c r="E39" s="68" t="s">
        <v>51</v>
      </c>
      <c r="F39" s="68" t="s">
        <v>165</v>
      </c>
      <c r="G39" s="9" t="s">
        <v>162</v>
      </c>
      <c r="H39" s="60" t="s">
        <v>226</v>
      </c>
      <c r="I39" s="8" t="s">
        <v>175</v>
      </c>
      <c r="J39" s="9" t="s">
        <v>175</v>
      </c>
      <c r="K39" s="45">
        <v>7</v>
      </c>
      <c r="L39" s="69">
        <v>1</v>
      </c>
      <c r="M39" s="45">
        <f t="shared" si="0"/>
        <v>5</v>
      </c>
      <c r="N39" s="65" t="s">
        <v>189</v>
      </c>
      <c r="O39" s="42">
        <v>0.22420000000000001</v>
      </c>
      <c r="P39" s="43">
        <f t="shared" si="1"/>
        <v>0.22420000000000001</v>
      </c>
      <c r="Q39" s="43">
        <f t="shared" si="2"/>
        <v>1.5694000000000001</v>
      </c>
      <c r="R39" s="42">
        <v>0.22420000000000001</v>
      </c>
      <c r="S39" s="43">
        <f t="shared" si="3"/>
        <v>1.121</v>
      </c>
      <c r="T39" s="44"/>
      <c r="U39" s="3"/>
      <c r="V39" s="3"/>
    </row>
    <row r="40" spans="1:22" ht="15.75" thickBot="1" x14ac:dyDescent="0.3">
      <c r="H40" s="26"/>
      <c r="I40" s="26"/>
      <c r="J40" s="26"/>
      <c r="K40" s="26"/>
      <c r="L40" s="118" t="s">
        <v>25</v>
      </c>
      <c r="M40" s="118"/>
      <c r="N40" s="118"/>
      <c r="O40" s="118"/>
      <c r="P40" s="30"/>
      <c r="Q40" s="30">
        <f>SUM(Q3:Q39)</f>
        <v>185.59739999999999</v>
      </c>
      <c r="R40" s="30"/>
      <c r="S40" s="22">
        <f>SUM(S3:S39)</f>
        <v>150.70650000000001</v>
      </c>
      <c r="T40" s="26"/>
      <c r="U40" s="3"/>
      <c r="V40" s="3"/>
    </row>
    <row r="41" spans="1:22" x14ac:dyDescent="0.25">
      <c r="H41" s="26"/>
      <c r="I41" s="26"/>
      <c r="J41" s="28"/>
      <c r="K41" s="26"/>
      <c r="L41" s="114" t="s">
        <v>26</v>
      </c>
      <c r="M41" s="114"/>
      <c r="N41" s="114"/>
      <c r="O41" s="114"/>
      <c r="P41" s="22">
        <f>SUM(P3:P39)</f>
        <v>30.628199999999996</v>
      </c>
      <c r="Q41" s="22">
        <f>Q40/5</f>
        <v>37.119479999999996</v>
      </c>
      <c r="R41" s="27"/>
      <c r="S41" s="29">
        <f>S40/5</f>
        <v>30.141300000000001</v>
      </c>
      <c r="T41" s="26"/>
      <c r="U41" s="3"/>
      <c r="V41" s="3"/>
    </row>
    <row r="42" spans="1:22" x14ac:dyDescent="0.25">
      <c r="I42" s="24"/>
      <c r="J42" s="24"/>
      <c r="U42" s="3"/>
      <c r="V42" s="3"/>
    </row>
    <row r="43" spans="1:22" x14ac:dyDescent="0.25">
      <c r="J43" s="23"/>
      <c r="U43" s="3"/>
      <c r="V43" s="3"/>
    </row>
    <row r="44" spans="1:22" x14ac:dyDescent="0.25">
      <c r="I44" s="24"/>
      <c r="J44" s="24"/>
      <c r="U44" s="3"/>
      <c r="V44" s="3"/>
    </row>
    <row r="45" spans="1:22" x14ac:dyDescent="0.25">
      <c r="U45" s="3"/>
      <c r="V45" s="3"/>
    </row>
    <row r="46" spans="1:22" x14ac:dyDescent="0.25">
      <c r="U46" s="3"/>
      <c r="V46" s="3"/>
    </row>
    <row r="47" spans="1:22" x14ac:dyDescent="0.25">
      <c r="U47" s="3"/>
      <c r="V47" s="3"/>
    </row>
    <row r="48" spans="1:22" x14ac:dyDescent="0.25">
      <c r="U48" s="3"/>
      <c r="V48" s="3"/>
    </row>
    <row r="49" spans="21:22" x14ac:dyDescent="0.25">
      <c r="U49" s="3"/>
      <c r="V49" s="3"/>
    </row>
    <row r="50" spans="21:22" x14ac:dyDescent="0.25">
      <c r="U50" s="3"/>
      <c r="V50" s="3"/>
    </row>
    <row r="51" spans="21:22" x14ac:dyDescent="0.25">
      <c r="U51" s="3"/>
      <c r="V51" s="3"/>
    </row>
    <row r="52" spans="21:22" x14ac:dyDescent="0.25">
      <c r="U52" s="3"/>
      <c r="V52" s="3"/>
    </row>
    <row r="53" spans="21:22" x14ac:dyDescent="0.25">
      <c r="U53" s="3"/>
      <c r="V53" s="3"/>
    </row>
    <row r="54" spans="21:22" x14ac:dyDescent="0.25">
      <c r="U54" s="3"/>
      <c r="V54" s="3"/>
    </row>
    <row r="55" spans="21:22" x14ac:dyDescent="0.25">
      <c r="U55" s="3"/>
      <c r="V55" s="3"/>
    </row>
    <row r="56" spans="21:22" ht="15.75" customHeight="1" x14ac:dyDescent="0.25">
      <c r="U56" s="3"/>
      <c r="V56" s="3"/>
    </row>
    <row r="57" spans="21:22" x14ac:dyDescent="0.25">
      <c r="U57" s="3"/>
      <c r="V57" s="3"/>
    </row>
    <row r="58" spans="21:22" x14ac:dyDescent="0.25">
      <c r="U58" s="3"/>
      <c r="V58" s="3"/>
    </row>
    <row r="59" spans="21:22" x14ac:dyDescent="0.25">
      <c r="U59" s="3"/>
      <c r="V59" s="3"/>
    </row>
    <row r="60" spans="21:22" x14ac:dyDescent="0.25">
      <c r="U60" s="3"/>
      <c r="V60" s="3"/>
    </row>
    <row r="61" spans="21:22" x14ac:dyDescent="0.25">
      <c r="U61" s="3"/>
      <c r="V61" s="3"/>
    </row>
  </sheetData>
  <mergeCells count="10">
    <mergeCell ref="B36:B39"/>
    <mergeCell ref="L41:O41"/>
    <mergeCell ref="A1:T1"/>
    <mergeCell ref="L40:O40"/>
    <mergeCell ref="B3:B12"/>
    <mergeCell ref="B13:B14"/>
    <mergeCell ref="B17:B25"/>
    <mergeCell ref="B26:B27"/>
    <mergeCell ref="B28:B29"/>
    <mergeCell ref="B30:B35"/>
  </mergeCells>
  <conditionalFormatting sqref="P41:S41">
    <cfRule type="dataBar" priority="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{23C19627-CC72-4F8E-BAD3-5ABFD29CE306}</x14:id>
        </ext>
      </extLst>
    </cfRule>
  </conditionalFormatting>
  <conditionalFormatting sqref="T18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{C4FABE8D-C538-4F8C-AF3D-D761B6945538}</x14:id>
        </ext>
      </extLst>
    </cfRule>
  </conditionalFormatting>
  <conditionalFormatting sqref="T13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{95C28DBC-1CBC-4CC5-8B31-E70202137348}</x14:id>
        </ext>
      </extLst>
    </cfRule>
  </conditionalFormatting>
  <conditionalFormatting sqref="N3:N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{D0D7514C-12FE-4A4F-8D11-1841726592C8}</x14:id>
        </ext>
      </extLst>
    </cfRule>
  </conditionalFormatting>
  <conditionalFormatting sqref="N20:N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{F0B90621-6DA6-4516-A516-05C42ACBDF1D}</x14:id>
        </ext>
      </extLst>
    </cfRule>
  </conditionalFormatting>
  <conditionalFormatting sqref="N31:N3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{3534E561-107E-40A4-8165-E983FF420B68}</x14:id>
        </ext>
      </extLst>
    </cfRule>
  </conditionalFormatting>
  <conditionalFormatting sqref="L3:L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3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Q10 P12:Q39 P11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{CC5A7198-6EFD-4BBD-B2B4-FEA92BA29842}</x14:id>
        </ext>
      </extLst>
    </cfRule>
  </conditionalFormatting>
  <conditionalFormatting sqref="S3:S39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{C84B8479-0C38-4E8A-A10C-CE0A75F3F79C}</x14:id>
        </ext>
      </extLst>
    </cfRule>
  </conditionalFormatting>
  <hyperlinks>
    <hyperlink ref="N8" r:id="rId1"/>
    <hyperlink ref="N3" r:id="rId2"/>
    <hyperlink ref="N4" r:id="rId3"/>
    <hyperlink ref="N5" r:id="rId4"/>
    <hyperlink ref="N6" r:id="rId5"/>
    <hyperlink ref="N7" r:id="rId6"/>
    <hyperlink ref="N9" r:id="rId7"/>
    <hyperlink ref="N10" r:id="rId8"/>
    <hyperlink ref="N12" r:id="rId9"/>
    <hyperlink ref="N14" r:id="rId10"/>
    <hyperlink ref="N16" r:id="rId11"/>
    <hyperlink ref="N17" r:id="rId12"/>
    <hyperlink ref="N18" r:id="rId13"/>
    <hyperlink ref="N19" r:id="rId14"/>
    <hyperlink ref="N20" r:id="rId15"/>
    <hyperlink ref="N22" r:id="rId16"/>
    <hyperlink ref="N23" r:id="rId17"/>
    <hyperlink ref="N24" r:id="rId18"/>
    <hyperlink ref="N25" r:id="rId19"/>
    <hyperlink ref="N26" r:id="rId20"/>
    <hyperlink ref="N27" r:id="rId21"/>
    <hyperlink ref="N28" r:id="rId22"/>
    <hyperlink ref="N29" r:id="rId23"/>
    <hyperlink ref="N30" r:id="rId24"/>
    <hyperlink ref="N31" r:id="rId25"/>
    <hyperlink ref="N32" r:id="rId26"/>
    <hyperlink ref="N33" r:id="rId27"/>
    <hyperlink ref="N34" r:id="rId28"/>
    <hyperlink ref="N36" r:id="rId29"/>
    <hyperlink ref="N37" r:id="rId30"/>
    <hyperlink ref="N21" r:id="rId31"/>
    <hyperlink ref="N39" r:id="rId32"/>
    <hyperlink ref="N11" r:id="rId33"/>
    <hyperlink ref="N13" r:id="rId34"/>
    <hyperlink ref="N15" r:id="rId35"/>
  </hyperlinks>
  <pageMargins left="0.7" right="0.7" top="0.75" bottom="0.75" header="0.3" footer="0.3"/>
  <pageSetup orientation="portrait" r:id="rId3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19627-CC72-4F8E-BAD3-5ABFD29CE3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P41:S41</xm:sqref>
        </x14:conditionalFormatting>
        <x14:conditionalFormatting xmlns:xm="http://schemas.microsoft.com/office/excel/2006/main">
          <x14:cfRule type="dataBar" id="{C4FABE8D-C538-4F8C-AF3D-D761B694553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95C28DBC-1CBC-4CC5-8B31-E702021373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D0D7514C-12FE-4A4F-8D11-1841726592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F0B90621-6DA6-4516-A516-05C42ACBDF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N20:N22</xm:sqref>
        </x14:conditionalFormatting>
        <x14:conditionalFormatting xmlns:xm="http://schemas.microsoft.com/office/excel/2006/main">
          <x14:cfRule type="dataBar" id="{3534E561-107E-40A4-8165-E983FF420B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N31:N35</xm:sqref>
        </x14:conditionalFormatting>
        <x14:conditionalFormatting xmlns:xm="http://schemas.microsoft.com/office/excel/2006/main">
          <x14:cfRule type="dataBar" id="{CC5A7198-6EFD-4BBD-B2B4-FEA92BA29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P3:Q10 P12:Q39 P11</xm:sqref>
        </x14:conditionalFormatting>
        <x14:conditionalFormatting xmlns:xm="http://schemas.microsoft.com/office/excel/2006/main">
          <x14:cfRule type="dataBar" id="{C84B8479-0C38-4E8A-A10C-CE0A75F3F7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S3:S39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LCSC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2021-06-08T13:45:48Z</dcterms:created>
  <dcterms:modified xsi:type="dcterms:W3CDTF">2021-10-21T09:03:34Z</dcterms:modified>
</cp:coreProperties>
</file>