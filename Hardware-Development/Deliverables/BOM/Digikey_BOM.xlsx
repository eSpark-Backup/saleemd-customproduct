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Github\SaleemD-CustomProduct\Deliverables\BOM\"/>
    </mc:Choice>
  </mc:AlternateContent>
  <bookViews>
    <workbookView xWindow="-120" yWindow="-120" windowWidth="20730" windowHeight="11160"/>
  </bookViews>
  <sheets>
    <sheet name="Sheet 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1" l="1"/>
  <c r="N37" i="1"/>
  <c r="N8" i="1"/>
  <c r="N28" i="1"/>
  <c r="N29" i="1"/>
  <c r="N27" i="1"/>
  <c r="N40" i="1"/>
  <c r="K3" i="1"/>
  <c r="P3" i="1"/>
  <c r="K4" i="1"/>
  <c r="P4" i="1"/>
  <c r="K5" i="1"/>
  <c r="P5" i="1"/>
  <c r="K6" i="1"/>
  <c r="P6" i="1"/>
  <c r="K7" i="1"/>
  <c r="P7" i="1"/>
  <c r="K8" i="1"/>
  <c r="P8" i="1"/>
  <c r="K9" i="1"/>
  <c r="P9" i="1"/>
  <c r="K10" i="1"/>
  <c r="P10" i="1"/>
  <c r="K11" i="1"/>
  <c r="P11" i="1"/>
  <c r="K12" i="1"/>
  <c r="P12" i="1"/>
  <c r="K13" i="1"/>
  <c r="P13" i="1"/>
  <c r="K14" i="1"/>
  <c r="P14" i="1"/>
  <c r="K15" i="1"/>
  <c r="P15" i="1"/>
  <c r="K16" i="1"/>
  <c r="P16" i="1"/>
  <c r="K17" i="1"/>
  <c r="P17" i="1"/>
  <c r="K18" i="1"/>
  <c r="P18" i="1"/>
  <c r="K19" i="1"/>
  <c r="P19" i="1"/>
  <c r="K20" i="1"/>
  <c r="P20" i="1"/>
  <c r="K21" i="1"/>
  <c r="P21" i="1"/>
  <c r="K22" i="1"/>
  <c r="P22" i="1"/>
  <c r="K23" i="1"/>
  <c r="P23" i="1"/>
  <c r="K24" i="1"/>
  <c r="P24" i="1"/>
  <c r="K25" i="1"/>
  <c r="P25" i="1"/>
  <c r="K26" i="1"/>
  <c r="P26" i="1"/>
  <c r="K27" i="1"/>
  <c r="P27" i="1"/>
  <c r="K28" i="1"/>
  <c r="P28" i="1"/>
  <c r="K29" i="1"/>
  <c r="P29" i="1"/>
  <c r="K30" i="1"/>
  <c r="P30" i="1"/>
  <c r="K31" i="1"/>
  <c r="P31" i="1"/>
  <c r="K32" i="1"/>
  <c r="P32" i="1"/>
  <c r="K33" i="1"/>
  <c r="P33" i="1"/>
  <c r="K34" i="1"/>
  <c r="P34" i="1"/>
  <c r="K35" i="1"/>
  <c r="P35" i="1"/>
  <c r="K36" i="1"/>
  <c r="P36" i="1"/>
  <c r="K37" i="1"/>
  <c r="P37" i="1"/>
  <c r="K38" i="1"/>
  <c r="P38" i="1"/>
  <c r="K39" i="1"/>
  <c r="P39" i="1"/>
  <c r="P40" i="1"/>
  <c r="N4" i="1"/>
  <c r="N5" i="1"/>
  <c r="N6" i="1"/>
  <c r="N7" i="1"/>
  <c r="N9" i="1"/>
  <c r="N10" i="1"/>
  <c r="N1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30" i="1"/>
  <c r="N31" i="1"/>
  <c r="N32" i="1"/>
  <c r="N33" i="1"/>
  <c r="N34" i="1"/>
  <c r="N35" i="1"/>
  <c r="N36" i="1"/>
  <c r="N38" i="1"/>
  <c r="N39" i="1"/>
  <c r="N3" i="1"/>
  <c r="P41" i="1"/>
</calcChain>
</file>

<file path=xl/sharedStrings.xml><?xml version="1.0" encoding="utf-8"?>
<sst xmlns="http://schemas.openxmlformats.org/spreadsheetml/2006/main" count="326" uniqueCount="206">
  <si>
    <t>Description</t>
  </si>
  <si>
    <t>Designator</t>
  </si>
  <si>
    <t>Manufacturer</t>
  </si>
  <si>
    <t>Manufacturer Part Number</t>
  </si>
  <si>
    <t>0.1uF</t>
  </si>
  <si>
    <t>TDK</t>
  </si>
  <si>
    <t>47uF</t>
  </si>
  <si>
    <t>4.7uF</t>
  </si>
  <si>
    <t>114-00841-68</t>
  </si>
  <si>
    <t>CONN MICRO SD CARD PUSH-PULL R/A</t>
  </si>
  <si>
    <t>J6</t>
  </si>
  <si>
    <t>CONN RCPT USB2.0 MICRO B SMD R/A</t>
  </si>
  <si>
    <t>100K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</si>
  <si>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</si>
  <si>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</si>
  <si>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</si>
  <si>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</si>
  <si>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</si>
  <si>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</si>
  <si>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</si>
  <si>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Unit Cost(1)</t>
  </si>
  <si>
    <t>Total Cost(1)</t>
  </si>
  <si>
    <t>Unit Cost (5 Boards)</t>
  </si>
  <si>
    <t>Total Cost (5)</t>
  </si>
  <si>
    <t>Remarks</t>
  </si>
  <si>
    <t>Capacitor</t>
  </si>
  <si>
    <t>Diode</t>
  </si>
  <si>
    <t>Resistor</t>
  </si>
  <si>
    <t>Ics</t>
  </si>
  <si>
    <t>Connector</t>
  </si>
  <si>
    <t>Digikey</t>
  </si>
  <si>
    <t>Custom</t>
  </si>
  <si>
    <t xml:space="preserve">Total Component Cost </t>
  </si>
  <si>
    <t>Single Board Cost</t>
  </si>
  <si>
    <t>1uF</t>
  </si>
  <si>
    <t>10uF</t>
  </si>
  <si>
    <t>D5, D6</t>
  </si>
  <si>
    <t>R3</t>
  </si>
  <si>
    <t>10K</t>
  </si>
  <si>
    <t>Mosfet</t>
  </si>
  <si>
    <t>L1</t>
  </si>
  <si>
    <t>Inductor</t>
  </si>
  <si>
    <t>U1</t>
  </si>
  <si>
    <t>U2</t>
  </si>
  <si>
    <t>U3</t>
  </si>
  <si>
    <t>SOT-23</t>
  </si>
  <si>
    <t>Res0603</t>
  </si>
  <si>
    <t>U8</t>
  </si>
  <si>
    <t>CONN HEADER VERT 3POS 2.54MM</t>
  </si>
  <si>
    <t>Link</t>
  </si>
  <si>
    <t>CAP CER 10UF 35V X5R 0603</t>
  </si>
  <si>
    <t>C1</t>
  </si>
  <si>
    <t>Cap0603</t>
  </si>
  <si>
    <t>GRM188R6YA106MA73D</t>
  </si>
  <si>
    <t>CAP CER 47uF 25V 1210</t>
  </si>
  <si>
    <t>C2</t>
  </si>
  <si>
    <t>Cap1210</t>
  </si>
  <si>
    <t>TMK325ABJ476MM-P</t>
  </si>
  <si>
    <t>CAP CER 8.2nF 50V X7R 10% 0603</t>
  </si>
  <si>
    <t>C3</t>
  </si>
  <si>
    <t>CC0603KRX7R9BB822</t>
  </si>
  <si>
    <t>CAP CER 10000PF 50V X7R 0603</t>
  </si>
  <si>
    <t>C4, C17</t>
  </si>
  <si>
    <t>CC0603KRX7R9BB103</t>
  </si>
  <si>
    <t>CAP CER 0.1UF 100V X7R 0603</t>
  </si>
  <si>
    <t>C5, C6, C7, C10, C12, C13, C14, C18, C25, C27, C29, C31, C33, C34</t>
  </si>
  <si>
    <t>CC0603KRX7R0BB104</t>
  </si>
  <si>
    <t>CAP ALUM 10uF 25V SMD</t>
  </si>
  <si>
    <t>C8, C9</t>
  </si>
  <si>
    <t>RVT1E100M0405</t>
  </si>
  <si>
    <t>CAP CER 1UF 25V X5R 0603</t>
  </si>
  <si>
    <t>C11, C15, C24, C26, C28, C30, C32</t>
  </si>
  <si>
    <t>CC0603KRX5R8BB105</t>
  </si>
  <si>
    <t>CAP CER, 4.7 µF, 25 V, 0603</t>
  </si>
  <si>
    <t>C16, C19</t>
  </si>
  <si>
    <t>C1608X5R1E475KT000E</t>
  </si>
  <si>
    <t>CAP CER 10PF 50V C0G/NP0 0603</t>
  </si>
  <si>
    <t>C20, C21</t>
  </si>
  <si>
    <t>06035A100JAT2A</t>
  </si>
  <si>
    <t>CAP CER 20PF 50V C0G/NP0 0603</t>
  </si>
  <si>
    <t>C22, C23</t>
  </si>
  <si>
    <t>CL10C200JB8NNNC</t>
  </si>
  <si>
    <t>8200pF</t>
  </si>
  <si>
    <t>10000pF</t>
  </si>
  <si>
    <t>10pF</t>
  </si>
  <si>
    <t>20pF</t>
  </si>
  <si>
    <t>DIODE ZENER 3.3V 200MW SOD323F</t>
  </si>
  <si>
    <t>D1, D2, D3, D4</t>
  </si>
  <si>
    <t>MM3Z3V3B</t>
  </si>
  <si>
    <t>VS-12CWQ06FNTR-M3</t>
  </si>
  <si>
    <t>FIXED IND 3.3UH 6.5A 36 MOHM SMD</t>
  </si>
  <si>
    <t>ASPI-0530LR-3R3M-T2</t>
  </si>
  <si>
    <t>TRANS NPN 40V 0.6A SMD SOT23-3</t>
  </si>
  <si>
    <t>Q1</t>
  </si>
  <si>
    <t>MMBT2222A-7-F</t>
  </si>
  <si>
    <t>3.3 µH</t>
  </si>
  <si>
    <t>RES SMD 1.69K 0.1W 0603</t>
  </si>
  <si>
    <t>R1</t>
  </si>
  <si>
    <t>CR0603-FX-1691ELF</t>
  </si>
  <si>
    <t>RES SMD 100K OHM 5% 1/5W 0603</t>
  </si>
  <si>
    <t>R2</t>
  </si>
  <si>
    <t>CRGH0603J100K</t>
  </si>
  <si>
    <t>RES SMD 0603 56K Ohm 5% 0.1W</t>
  </si>
  <si>
    <t>RC0603JR-0756KL</t>
  </si>
  <si>
    <t>RES SMD 10K OHM 1% 1/10W 0603</t>
  </si>
  <si>
    <t>R4, R5, R6, R19, R20, R23</t>
  </si>
  <si>
    <t>RC0603FR-0710KL</t>
  </si>
  <si>
    <t>R7, R12, R13, R14</t>
  </si>
  <si>
    <t>RES SMD 3.3K OHM 1% 1/10W 0603</t>
  </si>
  <si>
    <t>R8, R9, R10, R11</t>
  </si>
  <si>
    <t>RC0603FR-073K3L</t>
  </si>
  <si>
    <t>RES SMD 200 OHM 0.5% 1/10W 0603</t>
  </si>
  <si>
    <t>R15, R16, R17, R18</t>
  </si>
  <si>
    <t>RT0603DRD07200RL</t>
  </si>
  <si>
    <t>RES SMD 36K Ohm 1% 0.1W 0603</t>
  </si>
  <si>
    <t>R21</t>
  </si>
  <si>
    <t>RC0603FR-0736KL</t>
  </si>
  <si>
    <t>RES SMD 1.5K OHM 1% 1/10W 0603</t>
  </si>
  <si>
    <t>R22</t>
  </si>
  <si>
    <t>RC0603FR-071K5L</t>
  </si>
  <si>
    <t>1K69</t>
  </si>
  <si>
    <t>56K</t>
  </si>
  <si>
    <t>390R</t>
  </si>
  <si>
    <t>3.3K</t>
  </si>
  <si>
    <t>200R</t>
  </si>
  <si>
    <t>36K</t>
  </si>
  <si>
    <t>1.5K</t>
  </si>
  <si>
    <t>-</t>
  </si>
  <si>
    <t>SWITCH TACTILE SPST-NO 0.05A 12V</t>
  </si>
  <si>
    <t>SW1, SW3</t>
  </si>
  <si>
    <t>B3U-1000P</t>
  </si>
  <si>
    <t>SPDT 50mA @ 12VDC 12V On-On SMD Toggle Switches RoHS</t>
  </si>
  <si>
    <t>SW2</t>
  </si>
  <si>
    <t>SS-3235D-03-L2</t>
  </si>
  <si>
    <t>X1</t>
  </si>
  <si>
    <t>X1A000061002100</t>
  </si>
  <si>
    <t>X2</t>
  </si>
  <si>
    <t>XXDCCLNANF-8.000000MHZ</t>
  </si>
  <si>
    <t>32.768 KHz</t>
  </si>
  <si>
    <t>Switch</t>
  </si>
  <si>
    <t>Crystal</t>
  </si>
  <si>
    <t>IC REG BUCK ADJUSTABLE 6A 14VQFN</t>
  </si>
  <si>
    <t>14-VQFN (3.5x3.5)</t>
  </si>
  <si>
    <t>TPS54620RHLR</t>
  </si>
  <si>
    <t>STM32F070CBT6TR</t>
  </si>
  <si>
    <t>48-LQFP (7x7)</t>
  </si>
  <si>
    <t>IC REG LINEAR 3.3V 1A SOT223</t>
  </si>
  <si>
    <t>SOT-223</t>
  </si>
  <si>
    <t>NCP1117LPST33T3G</t>
  </si>
  <si>
    <t>U4, U5, U6, U7</t>
  </si>
  <si>
    <t>PS2801C-1-F3-A</t>
  </si>
  <si>
    <t>IC TRANSLATION TXRX 5.5V 24TSSOP</t>
  </si>
  <si>
    <t>24-TSSOP</t>
  </si>
  <si>
    <t>SN74LVC8T245PWR</t>
  </si>
  <si>
    <t>U9, U10, U11, U12, U13</t>
  </si>
  <si>
    <t>MIC94082YFT-TR</t>
  </si>
  <si>
    <t>J1, J2, J4, J5, J7</t>
  </si>
  <si>
    <t>640456-3</t>
  </si>
  <si>
    <t>J3</t>
  </si>
  <si>
    <t>WJ126V-5.0-6P</t>
  </si>
  <si>
    <t>J8</t>
  </si>
  <si>
    <t>10118194-0001LF</t>
  </si>
  <si>
    <t>8000000Hz</t>
  </si>
  <si>
    <t>--</t>
  </si>
  <si>
    <t>SOD323F</t>
  </si>
  <si>
    <t>TO-252AA</t>
  </si>
  <si>
    <t xml:space="preserve">Murata </t>
  </si>
  <si>
    <t xml:space="preserve">Taiyo </t>
  </si>
  <si>
    <t>YAGEO</t>
  </si>
  <si>
    <t xml:space="preserve">KYOCERA </t>
  </si>
  <si>
    <t xml:space="preserve">Samsung </t>
  </si>
  <si>
    <t>onsemi</t>
  </si>
  <si>
    <t xml:space="preserve">Vishay </t>
  </si>
  <si>
    <t xml:space="preserve">Abracon </t>
  </si>
  <si>
    <t xml:space="preserve">Diodes </t>
  </si>
  <si>
    <t xml:space="preserve">Bourns </t>
  </si>
  <si>
    <t xml:space="preserve">TE </t>
  </si>
  <si>
    <t>Omron </t>
  </si>
  <si>
    <t xml:space="preserve">Texas </t>
  </si>
  <si>
    <t>STMicroelectronics</t>
  </si>
  <si>
    <t>Arrow</t>
  </si>
  <si>
    <t>Mouser</t>
  </si>
  <si>
    <t xml:space="preserve">Renesas </t>
  </si>
  <si>
    <t xml:space="preserve">OPTOISOLATOR 2.5KV TRANS 4SOIC
</t>
  </si>
  <si>
    <t xml:space="preserve">IC PWR SWITCH P-CHAN 1:1 4TMLF
</t>
  </si>
  <si>
    <t xml:space="preserve"> 
4-TMLF</t>
  </si>
  <si>
    <t xml:space="preserve">Microchip </t>
  </si>
  <si>
    <t>Avnet</t>
  </si>
  <si>
    <t xml:space="preserve">Amphenol </t>
  </si>
  <si>
    <t xml:space="preserve">Seiko </t>
  </si>
  <si>
    <t xml:space="preserve">SMD2012-2P Crystals ROHS
</t>
  </si>
  <si>
    <t xml:space="preserve">12V 50mA @ 12VDC SPDT On-On SMD Slide Switches ROHS
</t>
  </si>
  <si>
    <t xml:space="preserve">TAITIEN </t>
  </si>
  <si>
    <t xml:space="preserve">ROQANG </t>
  </si>
  <si>
    <t xml:space="preserve">DIODE ARRAY SCHOTTKY 60V 6A DPAK
</t>
  </si>
  <si>
    <t xml:space="preserve">RES 390 OHM 5% 1W 2512
</t>
  </si>
  <si>
    <t>Res 2512</t>
  </si>
  <si>
    <t>RMCF2512JT390R</t>
  </si>
  <si>
    <t>Stack Pole</t>
  </si>
  <si>
    <t xml:space="preserve">Phoenix </t>
  </si>
  <si>
    <t xml:space="preserve">TERM BLK 3P SIDE ENT 5.08MM PCB
</t>
  </si>
  <si>
    <t>EEV106M025A9BAA</t>
  </si>
  <si>
    <t xml:space="preserve">RT2012-32.768-6-TR
</t>
  </si>
  <si>
    <t xml:space="preserve">Alternate Part use Footprint need to be change in design </t>
  </si>
  <si>
    <t>Custom supplier</t>
  </si>
  <si>
    <t>Bill of Material (BOM) for Saleem Custom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</si>
</sst>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00"/>
    <numFmt numFmtId="165" formatCode="_-[$$-409]* #,##0.00_ ;_-[$$-409]* \-#,##0.00\ ;_-[$$-409]* &quot;-&quot;??_ ;_-@_ "/>
    <numFmt numFmtId="166" formatCode="&quot;$&quot;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0" fillId="0" borderId="0" xfId="0" applyFont="1"/>
    <xf numFmtId="0" fontId="4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quotePrefix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6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166" fontId="11" fillId="0" borderId="0" xfId="0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164" fontId="0" fillId="0" borderId="0" xfId="0" applyNumberFormat="1"/>
    <xf numFmtId="164" fontId="6" fillId="0" borderId="0" xfId="0" applyNumberFormat="1" applyFont="1" applyFill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1" quotePrefix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 wrapText="1"/>
    </xf>
    <xf numFmtId="0" fontId="6" fillId="0" borderId="7" xfId="0" quotePrefix="1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8" xfId="0" applyFont="1" applyBorder="1"/>
    <xf numFmtId="165" fontId="9" fillId="3" borderId="9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165" fontId="9" fillId="3" borderId="8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8" xfId="0" quotePrefix="1" applyFont="1" applyBorder="1" applyAlignment="1">
      <alignment horizontal="center" vertical="center"/>
    </xf>
    <xf numFmtId="0" fontId="6" fillId="0" borderId="18" xfId="0" quotePrefix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center" vertical="center" wrapText="1"/>
    </xf>
    <xf numFmtId="0" fontId="6" fillId="0" borderId="20" xfId="0" quotePrefix="1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64" fontId="6" fillId="0" borderId="20" xfId="0" applyNumberFormat="1" applyFont="1" applyFill="1" applyBorder="1" applyAlignment="1">
      <alignment horizontal="center" vertical="center"/>
    </xf>
    <xf numFmtId="164" fontId="6" fillId="0" borderId="20" xfId="0" applyNumberFormat="1" applyFont="1" applyBorder="1" applyAlignment="1">
      <alignment horizontal="center" vertical="center"/>
    </xf>
    <xf numFmtId="0" fontId="6" fillId="0" borderId="21" xfId="0" applyFont="1" applyBorder="1"/>
    <xf numFmtId="165" fontId="9" fillId="3" borderId="11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6" fillId="0" borderId="12" xfId="0" quotePrefix="1" applyFont="1" applyBorder="1" applyAlignment="1">
      <alignment vertical="center" wrapText="1"/>
    </xf>
    <xf numFmtId="0" fontId="6" fillId="3" borderId="7" xfId="0" quotePrefix="1" applyFont="1" applyFill="1" applyBorder="1" applyAlignment="1">
      <alignment horizontal="center" vertical="center" wrapText="1"/>
    </xf>
    <xf numFmtId="0" fontId="7" fillId="0" borderId="7" xfId="1" quotePrefix="1" applyFont="1" applyBorder="1" applyAlignment="1">
      <alignment horizontal="center" vertical="center"/>
    </xf>
    <xf numFmtId="0" fontId="6" fillId="0" borderId="13" xfId="0" quotePrefix="1" applyFont="1" applyBorder="1" applyAlignment="1">
      <alignment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6" fillId="0" borderId="13" xfId="0" quotePrefix="1" applyFont="1" applyBorder="1" applyAlignment="1">
      <alignment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vertical="center" wrapText="1"/>
    </xf>
    <xf numFmtId="0" fontId="6" fillId="3" borderId="10" xfId="0" quotePrefix="1" applyFont="1" applyFill="1" applyBorder="1" applyAlignment="1">
      <alignment horizontal="center" vertical="center" wrapText="1"/>
    </xf>
    <xf numFmtId="0" fontId="6" fillId="0" borderId="10" xfId="0" quotePrefix="1" applyFont="1" applyBorder="1" applyAlignment="1">
      <alignment horizontal="center" vertical="center" wrapText="1"/>
    </xf>
    <xf numFmtId="0" fontId="7" fillId="0" borderId="10" xfId="1" quotePrefix="1" applyFont="1" applyBorder="1" applyAlignment="1">
      <alignment horizontal="center" vertical="center"/>
    </xf>
    <xf numFmtId="0" fontId="6" fillId="0" borderId="14" xfId="0" quotePrefix="1" applyFont="1" applyBorder="1" applyAlignment="1">
      <alignment vertical="center"/>
    </xf>
    <xf numFmtId="0" fontId="6" fillId="0" borderId="17" xfId="0" quotePrefix="1" applyFont="1" applyBorder="1" applyAlignment="1">
      <alignment vertical="center" wrapText="1"/>
    </xf>
    <xf numFmtId="0" fontId="6" fillId="3" borderId="18" xfId="0" quotePrefix="1" applyFont="1" applyFill="1" applyBorder="1" applyAlignment="1">
      <alignment horizontal="center" vertical="center" wrapText="1"/>
    </xf>
    <xf numFmtId="0" fontId="6" fillId="0" borderId="18" xfId="0" quotePrefix="1" applyFont="1" applyBorder="1" applyAlignment="1">
      <alignment horizontal="center" vertical="center" wrapText="1"/>
    </xf>
    <xf numFmtId="0" fontId="7" fillId="0" borderId="18" xfId="1" quotePrefix="1" applyFont="1" applyBorder="1" applyAlignment="1">
      <alignment horizontal="center" vertical="center"/>
    </xf>
    <xf numFmtId="0" fontId="6" fillId="0" borderId="19" xfId="0" quotePrefix="1" applyFont="1" applyBorder="1" applyAlignment="1">
      <alignment vertical="center" wrapText="1"/>
    </xf>
    <xf numFmtId="0" fontId="6" fillId="3" borderId="20" xfId="0" quotePrefix="1" applyFont="1" applyFill="1" applyBorder="1" applyAlignment="1">
      <alignment horizontal="center" vertical="center" wrapText="1"/>
    </xf>
    <xf numFmtId="0" fontId="7" fillId="0" borderId="20" xfId="1" quotePrefix="1" applyFont="1" applyBorder="1" applyAlignment="1">
      <alignment horizontal="center" vertical="center"/>
    </xf>
    <xf numFmtId="0" fontId="6" fillId="0" borderId="12" xfId="0" quotePrefix="1" applyFont="1" applyBorder="1" applyAlignment="1">
      <alignment vertical="center"/>
    </xf>
    <xf numFmtId="0" fontId="12" fillId="0" borderId="7" xfId="0" quotePrefix="1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6" fillId="4" borderId="14" xfId="0" quotePrefix="1" applyFont="1" applyFill="1" applyBorder="1" applyAlignment="1">
      <alignment vertical="center"/>
    </xf>
    <xf numFmtId="0" fontId="6" fillId="4" borderId="10" xfId="0" quotePrefix="1" applyFont="1" applyFill="1" applyBorder="1" applyAlignment="1">
      <alignment horizontal="center" vertical="center"/>
    </xf>
    <xf numFmtId="0" fontId="4" fillId="4" borderId="10" xfId="0" quotePrefix="1" applyFont="1" applyFill="1" applyBorder="1" applyAlignment="1">
      <alignment horizontal="center" vertical="center"/>
    </xf>
    <xf numFmtId="0" fontId="6" fillId="4" borderId="10" xfId="0" quotePrefix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diodes-incorporated/MMBT2222A-7-F/814503" TargetMode="External"/><Relationship Id="rId18" Type="http://schemas.openxmlformats.org/officeDocument/2006/relationships/hyperlink" Target="https://www.digikey.com/en/products/detail/yageo/RC0603FR-073K3L/727126?s=N4IgTCBcDaIEoGEAMA2JBmAYnAtEg7OgNLoAyIAugL5A" TargetMode="External"/><Relationship Id="rId26" Type="http://schemas.openxmlformats.org/officeDocument/2006/relationships/hyperlink" Target="https://eu.mouser.com/ProductDetail/Renesas-Electronics/PS2801C-1-F3-A?qs=%2Fha2pyFaduhFwYopAuaKNESV3dPEEEpb2EhHZ0ItfMx8%252Br2%252B%252BVCie69HT4lzjE46&amp;utm_source=octopart&amp;utm_medium=aggregator&amp;utm_campaign=551-PS2801C-1-F3-A&amp;utm_content=Renesas%20Electr" TargetMode="External"/><Relationship Id="rId21" Type="http://schemas.openxmlformats.org/officeDocument/2006/relationships/hyperlink" Target="https://www.digikey.com/en/products/detail/yageo/RC0603FR-071K5L/726864?s=N4IgTCBcDaIEoGEAMA2JBmAYnAtEg7AIwDSArADIgC6AvkA" TargetMode="External"/><Relationship Id="rId34" Type="http://schemas.openxmlformats.org/officeDocument/2006/relationships/hyperlink" Target="https://www.digikey.com/en/products/detail/phoenix-contact/1715857/1926192" TargetMode="External"/><Relationship Id="rId7" Type="http://schemas.openxmlformats.org/officeDocument/2006/relationships/hyperlink" Target="https://www.digikey.com/en/products/detail/tdk-corporation/C1608X5R1E475K080AC/3648581?s=N4IgTCBcDaIMIEYBsAGAHADQKwCUEFEAWAdiwGkAVFa-EAXQF8g" TargetMode="External"/><Relationship Id="rId12" Type="http://schemas.openxmlformats.org/officeDocument/2006/relationships/hyperlink" Target="https://www.digikey.com/en/products/detail/abracon-llc/ASPI-0530LR-3R3M-T2/3059585?s=N4IgTCBcDaIIIGUAKBJAtABgKwGYMBkAlNHQnAWTQBUIBdAXyA" TargetMode="External"/><Relationship Id="rId17" Type="http://schemas.openxmlformats.org/officeDocument/2006/relationships/hyperlink" Target="https://www.digikey.com/en/products/detail/yageo/RC0603FR-0710KL/726880?s=N4IgTCBcDaIEoGEAMA2JBmAYnAtEg7AIxIDSAMiALoC%2BQA" TargetMode="External"/><Relationship Id="rId25" Type="http://schemas.openxmlformats.org/officeDocument/2006/relationships/hyperlink" Target="https://www.arrow.com/en/products/ncp1117lpst33t3g/on-semiconductor?utm_campaign=octopart_2020&amp;utm_currency=USD&amp;utm_keyword=NCP1117LPST33T3G&amp;utm_medium=aggregator&amp;utm_content=inv_listing&amp;region=nac&amp;utm_source=octopart" TargetMode="External"/><Relationship Id="rId33" Type="http://schemas.openxmlformats.org/officeDocument/2006/relationships/hyperlink" Target="https://www.digikey.com/en/products/detail/stackpole-electronics-inc/RMCF2512JT390R/1756999" TargetMode="External"/><Relationship Id="rId2" Type="http://schemas.openxmlformats.org/officeDocument/2006/relationships/hyperlink" Target="https://www.digikey.com/en/products/detail/taiyo-yuden/TMK325ABJ476MM-P/7067064?s=N4IgTCBcDaICoFkDSBmMBWAggIQFIBYB2ANgQQFoAFEAXQF8g" TargetMode="External"/><Relationship Id="rId16" Type="http://schemas.openxmlformats.org/officeDocument/2006/relationships/hyperlink" Target="https://www.digikey.com/en/products/detail/yageo/RC0603JR-0756KL/726808?s=N4IgTCBcDaIEoGEAMA2JBmAUnAtEg7AKwoDSAMiALoC%2BQA" TargetMode="External"/><Relationship Id="rId20" Type="http://schemas.openxmlformats.org/officeDocument/2006/relationships/hyperlink" Target="https://www.digikey.com/en/products/detail/yageo/RC0603FR-0736KL/727179?s=N4IgTCBcDaIEoGEAMA2JBmAYnAtEg7OigNIAyIAugL5A" TargetMode="External"/><Relationship Id="rId29" Type="http://schemas.openxmlformats.org/officeDocument/2006/relationships/hyperlink" Target="https://www.avnet.com/shop/us/products/te-connectivity/640456-3-3074457345626649953?CMP=EMA_Octopart_inventoryfeed_VSE" TargetMode="External"/><Relationship Id="rId1" Type="http://schemas.openxmlformats.org/officeDocument/2006/relationships/hyperlink" Target="https://www.digikey.com/en/products/detail/murata-electronics/GRM188R6YA106MA73D/5877411?s=N4IgTCBcDaIOICUCyBGAHGhA2AmgQRQAYsk8B2AZgBEQBdAXyA" TargetMode="External"/><Relationship Id="rId6" Type="http://schemas.openxmlformats.org/officeDocument/2006/relationships/hyperlink" Target="https://www.digikey.com/en/products/detail/yageo/CC0603KRX5R8BB105/2833610?s=N4IgTCBcDaIMJwAwDZEGYDSAlAGgViwA4AhYgRkTxAF0BfIA" TargetMode="External"/><Relationship Id="rId11" Type="http://schemas.openxmlformats.org/officeDocument/2006/relationships/hyperlink" Target="https://www.digikey.com/en/products/detail/vishay-general-semiconductor-diodes-division/VS-12CWQ06FNTR-M3/4933557?s=N4IgTCBcDaIGoGUC0BGMBhA6gRQAwDYAxAOQBUAlJAWQGYQBdAXyA" TargetMode="External"/><Relationship Id="rId24" Type="http://schemas.openxmlformats.org/officeDocument/2006/relationships/hyperlink" Target="https://www.digikey.com/en/products/detail/stmicroelectronics/STM32F070CBT6TR/5268203?s=N4IgTCBcDaIMoBUCyBmMAxADAdkwYQCEEA2BAJRAF0BfIA" TargetMode="External"/><Relationship Id="rId32" Type="http://schemas.openxmlformats.org/officeDocument/2006/relationships/hyperlink" Target="https://lcsc.com/product-detail/Crystals_TAITIEN-Elec-XXDCCLNANF-8-000000MHZ_C521664.html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yageo/CC0603KRX7R0BB104/3476111?s=N4IgTCBcDaIMJwAwDZEGYDSAlAGgdi0QCEiBGRAFhAF0BfIA" TargetMode="External"/><Relationship Id="rId15" Type="http://schemas.openxmlformats.org/officeDocument/2006/relationships/hyperlink" Target="https://www.digikey.com/en/products/detail/te-connectivity-passive-product/CRGH0603J100K/2385403?s=N4IgTCBcDaIMICUDiAJADANjQZgFIEY00BpEAXQF8g" TargetMode="External"/><Relationship Id="rId23" Type="http://schemas.openxmlformats.org/officeDocument/2006/relationships/hyperlink" Target="https://www.digikey.com/en/products/detail/texas-instruments/TPS54620RHLR/2674340?s=N4IgTCBcDaICoAUDKBWALANjABgEoAkAZXEAXQF8g" TargetMode="External"/><Relationship Id="rId28" Type="http://schemas.openxmlformats.org/officeDocument/2006/relationships/hyperlink" Target="https://www.digikey.com/en/products/detail/microchip-technology/MIC94082YFT-TR/1980901?s=N4IgTCBcDaILIEkDCBOALABgBxgJoDEAVAWkICUQBdAXyA" TargetMode="External"/><Relationship Id="rId36" Type="http://schemas.openxmlformats.org/officeDocument/2006/relationships/hyperlink" Target="https://www.digikey.com/en/products/detail/raltron-electronics/RT2012-32-768-6-TR/10273013" TargetMode="External"/><Relationship Id="rId10" Type="http://schemas.openxmlformats.org/officeDocument/2006/relationships/hyperlink" Target="https://www.digikey.com/en/products/detail/onsemi/MM3Z3V3B/1626765" TargetMode="External"/><Relationship Id="rId19" Type="http://schemas.openxmlformats.org/officeDocument/2006/relationships/hyperlink" Target="https://www.digikey.com/en/products/detail/yageo/RT0603DRD07200RL/1035476?s=N4IgTCBcDaIEoBUAMA2JBmAInTSDsYSScAMiALoC%2BQA" TargetMode="External"/><Relationship Id="rId31" Type="http://schemas.openxmlformats.org/officeDocument/2006/relationships/hyperlink" Target="https://www.digikey.com/en/products/detail/amphenol-icc-fci/10118194-0001LF/2785389?s=N4IgTCBcDaIIwAY5wBxwJwBYC0C9wBkAxEAXQF8g" TargetMode="External"/><Relationship Id="rId4" Type="http://schemas.openxmlformats.org/officeDocument/2006/relationships/hyperlink" Target="https://www.digikey.com/en/products/detail/yageo/CC0603KRX7R9BB103/302819?s=N4IgTCBcDaIMJwAwDZEGYDSAlAGgdiwE4AhYgRnRAF0BfIA" TargetMode="External"/><Relationship Id="rId9" Type="http://schemas.openxmlformats.org/officeDocument/2006/relationships/hyperlink" Target="https://www.digikey.com/en/products/detail/samsung-electro-mechanics/CL10C200JB8NNNC/3886845?s=N4IgTCBcDaIMIBkCMAGOYUoFICEAcAckXCALoC%2BQA" TargetMode="External"/><Relationship Id="rId14" Type="http://schemas.openxmlformats.org/officeDocument/2006/relationships/hyperlink" Target="https://www.digikey.com/en/products/detail/bourns-inc/CR0603-FX-1691ELF/3783774?s=N4IgTCBcDaIMICUAMA2JBmAtAMQBqYEYUBOAgUQBlsQBdAXyA" TargetMode="External"/><Relationship Id="rId22" Type="http://schemas.openxmlformats.org/officeDocument/2006/relationships/hyperlink" Target="https://www.digikey.com/en/products/detail/omron-electronics-inc-emc-div/B3U-1000P/1534338" TargetMode="External"/><Relationship Id="rId27" Type="http://schemas.openxmlformats.org/officeDocument/2006/relationships/hyperlink" Target="https://www.digikey.com/en/products/detail/texas-instruments/SN74LVC8T245PWR/857773" TargetMode="External"/><Relationship Id="rId30" Type="http://schemas.openxmlformats.org/officeDocument/2006/relationships/hyperlink" Target="https://www.digikey.com/en/products/detail/amphenol-icc-commercial-products/114-00841-68/2187086?s=N4IgTCBcDaIIxwCwFoAMqAci7IGwZAF0BfIA" TargetMode="External"/><Relationship Id="rId35" Type="http://schemas.openxmlformats.org/officeDocument/2006/relationships/hyperlink" Target="https://www.digikey.com/en/products/detail/kemet/EEV106M025A9BAA/3083109" TargetMode="External"/><Relationship Id="rId8" Type="http://schemas.openxmlformats.org/officeDocument/2006/relationships/hyperlink" Target="https://www.digikey.com/en/products/detail/kyocera-avx/06035A100JAT2A/563273?s=N4IgTCBcDaIAwDY4GYCsBBAjHOApdAKmOiALoC%2BQA" TargetMode="External"/><Relationship Id="rId3" Type="http://schemas.openxmlformats.org/officeDocument/2006/relationships/hyperlink" Target="https://www.digikey.com/en/products/detail/yageo/CC0603KRX7R9BB822/5195218?s=N4IgTCBcDaIMJwAwDZEGYDSAlAGgdiwE4AhYgDjAg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zoomScale="86" zoomScaleNormal="85" workbookViewId="0">
      <selection activeCell="E17" sqref="E17"/>
    </sheetView>
  </sheetViews>
  <sheetFormatPr defaultRowHeight="15" x14ac:dyDescent="0.25"/>
  <cols>
    <col min="1" max="1" width="6.140625" style="10" bestFit="1" customWidth="1"/>
    <col min="2" max="2" width="14.42578125" style="10" customWidth="1"/>
    <col min="3" max="3" width="57" bestFit="1" customWidth="1"/>
    <col min="4" max="4" width="32.140625" style="10" bestFit="1" customWidth="1"/>
    <col min="5" max="5" width="18.5703125" style="10" bestFit="1" customWidth="1"/>
    <col min="6" max="6" width="25.28515625" style="10" bestFit="1" customWidth="1"/>
    <col min="7" max="7" width="19.140625" bestFit="1" customWidth="1"/>
    <col min="8" max="8" width="21.140625" bestFit="1" customWidth="1"/>
    <col min="9" max="9" width="11.28515625" style="10" bestFit="1" customWidth="1"/>
    <col min="10" max="10" width="19.42578125" style="10" bestFit="1" customWidth="1"/>
    <col min="11" max="11" width="10.140625" bestFit="1" customWidth="1"/>
    <col min="12" max="12" width="14" bestFit="1" customWidth="1"/>
    <col min="13" max="13" width="11.5703125" bestFit="1" customWidth="1"/>
    <col min="14" max="14" width="12.140625" bestFit="1" customWidth="1"/>
    <col min="15" max="15" width="18.7109375" bestFit="1" customWidth="1"/>
    <col min="16" max="16" width="12.5703125" bestFit="1" customWidth="1"/>
    <col min="17" max="17" width="48.28515625" bestFit="1" customWidth="1"/>
  </cols>
  <sheetData>
    <row r="1" spans="1:19" ht="16.5" thickBot="1" x14ac:dyDescent="0.3">
      <c r="A1" s="88" t="s">
        <v>205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</row>
    <row r="2" spans="1:19" ht="15.75" thickBot="1" x14ac:dyDescent="0.3">
      <c r="A2" s="1" t="s">
        <v>13</v>
      </c>
      <c r="B2" s="1" t="s">
        <v>14</v>
      </c>
      <c r="C2" s="1" t="s">
        <v>0</v>
      </c>
      <c r="D2" s="1" t="s">
        <v>1</v>
      </c>
      <c r="E2" s="1" t="s">
        <v>15</v>
      </c>
      <c r="F2" s="1" t="s">
        <v>3</v>
      </c>
      <c r="G2" s="1" t="s">
        <v>2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49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</row>
    <row r="3" spans="1:19" ht="15.75" thickBot="1" x14ac:dyDescent="0.3">
      <c r="A3" s="13">
        <v>1</v>
      </c>
      <c r="B3" s="83" t="s">
        <v>25</v>
      </c>
      <c r="C3" s="56" t="s">
        <v>50</v>
      </c>
      <c r="D3" s="57" t="s">
        <v>51</v>
      </c>
      <c r="E3" s="31" t="s">
        <v>52</v>
      </c>
      <c r="F3" s="31" t="s">
        <v>53</v>
      </c>
      <c r="G3" s="19" t="s">
        <v>166</v>
      </c>
      <c r="H3" s="20" t="s">
        <v>127</v>
      </c>
      <c r="I3" s="31" t="s">
        <v>35</v>
      </c>
      <c r="J3" s="38">
        <v>1</v>
      </c>
      <c r="K3" s="21">
        <f>J3*5</f>
        <v>5</v>
      </c>
      <c r="L3" s="58" t="s">
        <v>30</v>
      </c>
      <c r="M3" s="23">
        <v>0.45</v>
      </c>
      <c r="N3" s="23">
        <f>M3*J3</f>
        <v>0.45</v>
      </c>
      <c r="O3" s="23">
        <v>0.45</v>
      </c>
      <c r="P3" s="23">
        <f>O3*K3</f>
        <v>2.25</v>
      </c>
      <c r="Q3" s="24"/>
      <c r="R3" s="2"/>
      <c r="S3" s="2"/>
    </row>
    <row r="4" spans="1:19" ht="15.75" thickBot="1" x14ac:dyDescent="0.3">
      <c r="A4" s="13">
        <v>2</v>
      </c>
      <c r="B4" s="84"/>
      <c r="C4" s="59" t="s">
        <v>54</v>
      </c>
      <c r="D4" s="60" t="s">
        <v>55</v>
      </c>
      <c r="E4" s="14" t="s">
        <v>56</v>
      </c>
      <c r="F4" s="14" t="s">
        <v>57</v>
      </c>
      <c r="G4" s="3" t="s">
        <v>167</v>
      </c>
      <c r="H4" s="11" t="s">
        <v>127</v>
      </c>
      <c r="I4" s="14" t="s">
        <v>6</v>
      </c>
      <c r="J4" s="12">
        <v>1</v>
      </c>
      <c r="K4" s="4">
        <f t="shared" ref="K4:K39" si="0">J4*5</f>
        <v>5</v>
      </c>
      <c r="L4" s="5" t="s">
        <v>30</v>
      </c>
      <c r="M4" s="6">
        <v>1.1299999999999999</v>
      </c>
      <c r="N4" s="6">
        <f t="shared" ref="N4:N39" si="1">M4*J4</f>
        <v>1.1299999999999999</v>
      </c>
      <c r="O4" s="6">
        <v>1.1299999999999999</v>
      </c>
      <c r="P4" s="6">
        <f t="shared" ref="P4:P39" si="2">O4*K4</f>
        <v>5.6499999999999995</v>
      </c>
      <c r="Q4" s="25"/>
      <c r="R4" s="2"/>
      <c r="S4" s="2"/>
    </row>
    <row r="5" spans="1:19" ht="15.75" thickBot="1" x14ac:dyDescent="0.3">
      <c r="A5" s="13">
        <v>3</v>
      </c>
      <c r="B5" s="84"/>
      <c r="C5" s="59" t="s">
        <v>58</v>
      </c>
      <c r="D5" s="60" t="s">
        <v>59</v>
      </c>
      <c r="E5" s="14" t="s">
        <v>52</v>
      </c>
      <c r="F5" s="14" t="s">
        <v>60</v>
      </c>
      <c r="G5" s="3" t="s">
        <v>168</v>
      </c>
      <c r="H5" s="11" t="s">
        <v>127</v>
      </c>
      <c r="I5" s="14" t="s">
        <v>82</v>
      </c>
      <c r="J5" s="12">
        <v>1</v>
      </c>
      <c r="K5" s="4">
        <f t="shared" si="0"/>
        <v>5</v>
      </c>
      <c r="L5" s="5" t="s">
        <v>30</v>
      </c>
      <c r="M5" s="6">
        <v>0.1</v>
      </c>
      <c r="N5" s="6">
        <f t="shared" si="1"/>
        <v>0.1</v>
      </c>
      <c r="O5" s="6">
        <v>0.1</v>
      </c>
      <c r="P5" s="6">
        <f t="shared" si="2"/>
        <v>0.5</v>
      </c>
      <c r="Q5" s="25"/>
      <c r="R5" s="2"/>
      <c r="S5" s="2"/>
    </row>
    <row r="6" spans="1:19" ht="15.75" thickBot="1" x14ac:dyDescent="0.3">
      <c r="A6" s="13">
        <v>4</v>
      </c>
      <c r="B6" s="84"/>
      <c r="C6" s="59" t="s">
        <v>61</v>
      </c>
      <c r="D6" s="60" t="s">
        <v>62</v>
      </c>
      <c r="E6" s="14" t="s">
        <v>52</v>
      </c>
      <c r="F6" s="14" t="s">
        <v>63</v>
      </c>
      <c r="G6" s="3" t="s">
        <v>168</v>
      </c>
      <c r="H6" s="11" t="s">
        <v>127</v>
      </c>
      <c r="I6" s="14" t="s">
        <v>83</v>
      </c>
      <c r="J6" s="12">
        <v>2</v>
      </c>
      <c r="K6" s="4">
        <f t="shared" si="0"/>
        <v>10</v>
      </c>
      <c r="L6" s="5" t="s">
        <v>30</v>
      </c>
      <c r="M6" s="6">
        <v>0.1</v>
      </c>
      <c r="N6" s="6">
        <f t="shared" si="1"/>
        <v>0.2</v>
      </c>
      <c r="O6" s="6">
        <v>3.6999999999999998E-2</v>
      </c>
      <c r="P6" s="6">
        <f t="shared" si="2"/>
        <v>0.37</v>
      </c>
      <c r="Q6" s="25"/>
      <c r="R6" s="2"/>
      <c r="S6" s="2"/>
    </row>
    <row r="7" spans="1:19" ht="26.25" thickBot="1" x14ac:dyDescent="0.3">
      <c r="A7" s="13">
        <v>5</v>
      </c>
      <c r="B7" s="84"/>
      <c r="C7" s="59" t="s">
        <v>64</v>
      </c>
      <c r="D7" s="60" t="s">
        <v>65</v>
      </c>
      <c r="E7" s="14" t="s">
        <v>52</v>
      </c>
      <c r="F7" s="14" t="s">
        <v>66</v>
      </c>
      <c r="G7" s="16" t="s">
        <v>168</v>
      </c>
      <c r="H7" s="11" t="s">
        <v>127</v>
      </c>
      <c r="I7" s="14" t="s">
        <v>4</v>
      </c>
      <c r="J7" s="12">
        <v>14</v>
      </c>
      <c r="K7" s="4">
        <f t="shared" si="0"/>
        <v>70</v>
      </c>
      <c r="L7" s="5" t="s">
        <v>30</v>
      </c>
      <c r="M7" s="6">
        <v>0.19</v>
      </c>
      <c r="N7" s="6">
        <f t="shared" si="1"/>
        <v>2.66</v>
      </c>
      <c r="O7" s="6">
        <v>7.6799999999999993E-2</v>
      </c>
      <c r="P7" s="6">
        <f t="shared" si="2"/>
        <v>5.3759999999999994</v>
      </c>
      <c r="Q7" s="25"/>
      <c r="R7" s="2"/>
      <c r="S7" s="2"/>
    </row>
    <row r="8" spans="1:19" ht="15.75" thickBot="1" x14ac:dyDescent="0.3">
      <c r="A8" s="13">
        <v>6</v>
      </c>
      <c r="B8" s="84"/>
      <c r="C8" s="59" t="s">
        <v>67</v>
      </c>
      <c r="D8" s="60" t="s">
        <v>68</v>
      </c>
      <c r="E8" s="14" t="s">
        <v>31</v>
      </c>
      <c r="F8" s="61" t="s">
        <v>69</v>
      </c>
      <c r="G8" s="3" t="s">
        <v>193</v>
      </c>
      <c r="H8" s="14" t="s">
        <v>201</v>
      </c>
      <c r="I8" s="14" t="s">
        <v>35</v>
      </c>
      <c r="J8" s="12">
        <v>2</v>
      </c>
      <c r="K8" s="4">
        <f t="shared" si="0"/>
        <v>10</v>
      </c>
      <c r="L8" s="5" t="s">
        <v>30</v>
      </c>
      <c r="M8" s="6">
        <v>0.43</v>
      </c>
      <c r="N8" s="6">
        <f t="shared" si="1"/>
        <v>0.86</v>
      </c>
      <c r="O8" s="6">
        <v>0.43</v>
      </c>
      <c r="P8" s="6">
        <f t="shared" si="2"/>
        <v>4.3</v>
      </c>
      <c r="Q8" s="78" t="s">
        <v>203</v>
      </c>
      <c r="R8" s="2"/>
      <c r="S8" s="2"/>
    </row>
    <row r="9" spans="1:19" ht="15.75" thickBot="1" x14ac:dyDescent="0.3">
      <c r="A9" s="13">
        <v>7</v>
      </c>
      <c r="B9" s="84"/>
      <c r="C9" s="62" t="s">
        <v>70</v>
      </c>
      <c r="D9" s="63" t="s">
        <v>71</v>
      </c>
      <c r="E9" s="11" t="s">
        <v>52</v>
      </c>
      <c r="F9" s="11" t="s">
        <v>72</v>
      </c>
      <c r="G9" s="3" t="s">
        <v>168</v>
      </c>
      <c r="H9" s="11" t="s">
        <v>127</v>
      </c>
      <c r="I9" s="14" t="s">
        <v>34</v>
      </c>
      <c r="J9" s="12">
        <v>7</v>
      </c>
      <c r="K9" s="4">
        <f t="shared" si="0"/>
        <v>35</v>
      </c>
      <c r="L9" s="5" t="s">
        <v>30</v>
      </c>
      <c r="M9" s="6">
        <v>0.12</v>
      </c>
      <c r="N9" s="6">
        <f t="shared" si="1"/>
        <v>0.84</v>
      </c>
      <c r="O9" s="6">
        <v>8.4000000000000005E-2</v>
      </c>
      <c r="P9" s="6">
        <f t="shared" si="2"/>
        <v>2.9400000000000004</v>
      </c>
      <c r="Q9" s="25"/>
      <c r="R9" s="2"/>
      <c r="S9" s="2"/>
    </row>
    <row r="10" spans="1:19" ht="15.75" thickBot="1" x14ac:dyDescent="0.3">
      <c r="A10" s="13">
        <v>8</v>
      </c>
      <c r="B10" s="84"/>
      <c r="C10" s="59" t="s">
        <v>73</v>
      </c>
      <c r="D10" s="60" t="s">
        <v>74</v>
      </c>
      <c r="E10" s="14" t="s">
        <v>52</v>
      </c>
      <c r="F10" s="14" t="s">
        <v>75</v>
      </c>
      <c r="G10" s="16" t="s">
        <v>5</v>
      </c>
      <c r="H10" s="11" t="s">
        <v>127</v>
      </c>
      <c r="I10" s="14" t="s">
        <v>7</v>
      </c>
      <c r="J10" s="12">
        <v>2</v>
      </c>
      <c r="K10" s="4">
        <f t="shared" si="0"/>
        <v>10</v>
      </c>
      <c r="L10" s="5" t="s">
        <v>30</v>
      </c>
      <c r="M10" s="6">
        <v>0.36</v>
      </c>
      <c r="N10" s="6">
        <f t="shared" si="1"/>
        <v>0.72</v>
      </c>
      <c r="O10" s="6">
        <v>0.25</v>
      </c>
      <c r="P10" s="6">
        <f t="shared" si="2"/>
        <v>2.5</v>
      </c>
      <c r="Q10" s="25"/>
      <c r="R10" s="2"/>
      <c r="S10" s="2"/>
    </row>
    <row r="11" spans="1:19" ht="15.75" thickBot="1" x14ac:dyDescent="0.3">
      <c r="A11" s="13">
        <v>9</v>
      </c>
      <c r="B11" s="84"/>
      <c r="C11" s="59" t="s">
        <v>76</v>
      </c>
      <c r="D11" s="60" t="s">
        <v>77</v>
      </c>
      <c r="E11" s="14" t="s">
        <v>52</v>
      </c>
      <c r="F11" s="14" t="s">
        <v>78</v>
      </c>
      <c r="G11" s="16" t="s">
        <v>169</v>
      </c>
      <c r="H11" s="11" t="s">
        <v>127</v>
      </c>
      <c r="I11" s="14" t="s">
        <v>84</v>
      </c>
      <c r="J11" s="12">
        <v>2</v>
      </c>
      <c r="K11" s="4">
        <f t="shared" si="0"/>
        <v>10</v>
      </c>
      <c r="L11" s="5" t="s">
        <v>30</v>
      </c>
      <c r="M11" s="6">
        <v>0.1</v>
      </c>
      <c r="N11" s="6">
        <f t="shared" si="1"/>
        <v>0.2</v>
      </c>
      <c r="O11" s="6">
        <v>4.8000000000000001E-2</v>
      </c>
      <c r="P11" s="6">
        <f t="shared" si="2"/>
        <v>0.48</v>
      </c>
      <c r="Q11" s="25"/>
      <c r="R11" s="2"/>
      <c r="S11" s="2"/>
    </row>
    <row r="12" spans="1:19" ht="15.75" thickBot="1" x14ac:dyDescent="0.3">
      <c r="A12" s="13">
        <v>10</v>
      </c>
      <c r="B12" s="85"/>
      <c r="C12" s="64" t="s">
        <v>79</v>
      </c>
      <c r="D12" s="65" t="s">
        <v>80</v>
      </c>
      <c r="E12" s="66" t="s">
        <v>52</v>
      </c>
      <c r="F12" s="66" t="s">
        <v>81</v>
      </c>
      <c r="G12" s="26" t="s">
        <v>170</v>
      </c>
      <c r="H12" s="27" t="s">
        <v>127</v>
      </c>
      <c r="I12" s="66" t="s">
        <v>85</v>
      </c>
      <c r="J12" s="39">
        <v>2</v>
      </c>
      <c r="K12" s="28">
        <f t="shared" si="0"/>
        <v>10</v>
      </c>
      <c r="L12" s="67" t="s">
        <v>30</v>
      </c>
      <c r="M12" s="29">
        <v>0.1</v>
      </c>
      <c r="N12" s="29">
        <f t="shared" si="1"/>
        <v>0.2</v>
      </c>
      <c r="O12" s="29">
        <v>4.9000000000000002E-2</v>
      </c>
      <c r="P12" s="29">
        <f t="shared" si="2"/>
        <v>0.49</v>
      </c>
      <c r="Q12" s="30"/>
      <c r="R12" s="2"/>
      <c r="S12" s="2"/>
    </row>
    <row r="13" spans="1:19" ht="15.75" thickBot="1" x14ac:dyDescent="0.3">
      <c r="A13" s="13">
        <v>11</v>
      </c>
      <c r="B13" s="83" t="s">
        <v>26</v>
      </c>
      <c r="C13" s="56" t="s">
        <v>86</v>
      </c>
      <c r="D13" s="57" t="s">
        <v>87</v>
      </c>
      <c r="E13" s="31" t="s">
        <v>164</v>
      </c>
      <c r="F13" s="31" t="s">
        <v>88</v>
      </c>
      <c r="G13" s="19" t="s">
        <v>171</v>
      </c>
      <c r="H13" s="20" t="s">
        <v>127</v>
      </c>
      <c r="I13" s="19" t="s">
        <v>127</v>
      </c>
      <c r="J13" s="38">
        <v>4</v>
      </c>
      <c r="K13" s="21">
        <f t="shared" si="0"/>
        <v>20</v>
      </c>
      <c r="L13" s="58" t="s">
        <v>30</v>
      </c>
      <c r="M13" s="23">
        <v>0.25</v>
      </c>
      <c r="N13" s="23">
        <f t="shared" si="1"/>
        <v>1</v>
      </c>
      <c r="O13" s="23">
        <v>0.20499999999999999</v>
      </c>
      <c r="P13" s="23">
        <f t="shared" si="2"/>
        <v>4.0999999999999996</v>
      </c>
      <c r="Q13" s="37"/>
      <c r="R13" s="2"/>
      <c r="S13" s="2"/>
    </row>
    <row r="14" spans="1:19" ht="15.75" thickBot="1" x14ac:dyDescent="0.3">
      <c r="A14" s="13">
        <v>12</v>
      </c>
      <c r="B14" s="85"/>
      <c r="C14" s="68" t="s">
        <v>194</v>
      </c>
      <c r="D14" s="65" t="s">
        <v>36</v>
      </c>
      <c r="E14" s="66" t="s">
        <v>165</v>
      </c>
      <c r="F14" s="66" t="s">
        <v>89</v>
      </c>
      <c r="G14" s="26" t="s">
        <v>172</v>
      </c>
      <c r="H14" s="27" t="s">
        <v>127</v>
      </c>
      <c r="I14" s="26" t="s">
        <v>127</v>
      </c>
      <c r="J14" s="39">
        <v>2</v>
      </c>
      <c r="K14" s="28">
        <f t="shared" si="0"/>
        <v>10</v>
      </c>
      <c r="L14" s="67" t="s">
        <v>30</v>
      </c>
      <c r="M14" s="29">
        <v>0.97</v>
      </c>
      <c r="N14" s="29">
        <f t="shared" si="1"/>
        <v>1.94</v>
      </c>
      <c r="O14" s="29">
        <v>0.86399999999999999</v>
      </c>
      <c r="P14" s="29">
        <f t="shared" si="2"/>
        <v>8.64</v>
      </c>
      <c r="Q14" s="30"/>
      <c r="R14" s="2"/>
      <c r="S14" s="2"/>
    </row>
    <row r="15" spans="1:19" ht="15.75" thickBot="1" x14ac:dyDescent="0.3">
      <c r="A15" s="13">
        <v>13</v>
      </c>
      <c r="B15" s="36" t="s">
        <v>41</v>
      </c>
      <c r="C15" s="69" t="s">
        <v>90</v>
      </c>
      <c r="D15" s="70" t="s">
        <v>40</v>
      </c>
      <c r="E15" s="71" t="s">
        <v>31</v>
      </c>
      <c r="F15" s="71" t="s">
        <v>91</v>
      </c>
      <c r="G15" s="40" t="s">
        <v>173</v>
      </c>
      <c r="H15" s="41" t="s">
        <v>127</v>
      </c>
      <c r="I15" s="71" t="s">
        <v>95</v>
      </c>
      <c r="J15" s="42">
        <v>1</v>
      </c>
      <c r="K15" s="43">
        <f t="shared" si="0"/>
        <v>5</v>
      </c>
      <c r="L15" s="72" t="s">
        <v>30</v>
      </c>
      <c r="M15" s="44">
        <v>0.92</v>
      </c>
      <c r="N15" s="44">
        <f t="shared" si="1"/>
        <v>0.92</v>
      </c>
      <c r="O15" s="44">
        <v>0.92</v>
      </c>
      <c r="P15" s="44">
        <f t="shared" si="2"/>
        <v>4.6000000000000005</v>
      </c>
      <c r="Q15" s="54"/>
      <c r="R15" s="2"/>
      <c r="S15" s="2"/>
    </row>
    <row r="16" spans="1:19" ht="15.75" thickBot="1" x14ac:dyDescent="0.3">
      <c r="A16" s="13">
        <v>14</v>
      </c>
      <c r="B16" s="45" t="s">
        <v>39</v>
      </c>
      <c r="C16" s="73" t="s">
        <v>92</v>
      </c>
      <c r="D16" s="74" t="s">
        <v>93</v>
      </c>
      <c r="E16" s="46" t="s">
        <v>45</v>
      </c>
      <c r="F16" s="46" t="s">
        <v>94</v>
      </c>
      <c r="G16" s="46" t="s">
        <v>174</v>
      </c>
      <c r="H16" s="47" t="s">
        <v>127</v>
      </c>
      <c r="I16" s="46" t="s">
        <v>127</v>
      </c>
      <c r="J16" s="48">
        <v>1</v>
      </c>
      <c r="K16" s="49">
        <f t="shared" si="0"/>
        <v>5</v>
      </c>
      <c r="L16" s="75" t="s">
        <v>30</v>
      </c>
      <c r="M16" s="50">
        <v>0.14000000000000001</v>
      </c>
      <c r="N16" s="51">
        <f t="shared" si="1"/>
        <v>0.14000000000000001</v>
      </c>
      <c r="O16" s="51">
        <v>0.14000000000000001</v>
      </c>
      <c r="P16" s="51">
        <f t="shared" si="2"/>
        <v>0.70000000000000007</v>
      </c>
      <c r="Q16" s="52"/>
      <c r="R16" s="2"/>
      <c r="S16" s="2"/>
    </row>
    <row r="17" spans="1:19" ht="15.75" thickBot="1" x14ac:dyDescent="0.3">
      <c r="A17" s="13">
        <v>15</v>
      </c>
      <c r="B17" s="83" t="s">
        <v>27</v>
      </c>
      <c r="C17" s="56" t="s">
        <v>96</v>
      </c>
      <c r="D17" s="57" t="s">
        <v>97</v>
      </c>
      <c r="E17" s="31" t="s">
        <v>46</v>
      </c>
      <c r="F17" s="31" t="s">
        <v>98</v>
      </c>
      <c r="G17" s="31" t="s">
        <v>175</v>
      </c>
      <c r="H17" s="32" t="s">
        <v>127</v>
      </c>
      <c r="I17" s="31" t="s">
        <v>120</v>
      </c>
      <c r="J17" s="38">
        <v>1</v>
      </c>
      <c r="K17" s="21">
        <f t="shared" si="0"/>
        <v>5</v>
      </c>
      <c r="L17" s="58" t="s">
        <v>30</v>
      </c>
      <c r="M17" s="33">
        <v>0.1</v>
      </c>
      <c r="N17" s="23">
        <f t="shared" si="1"/>
        <v>0.1</v>
      </c>
      <c r="O17" s="23">
        <v>0.1</v>
      </c>
      <c r="P17" s="23">
        <f t="shared" si="2"/>
        <v>0.5</v>
      </c>
      <c r="Q17" s="34"/>
      <c r="R17" s="2"/>
      <c r="S17" s="2"/>
    </row>
    <row r="18" spans="1:19" ht="15.75" thickBot="1" x14ac:dyDescent="0.3">
      <c r="A18" s="13">
        <v>16</v>
      </c>
      <c r="B18" s="84"/>
      <c r="C18" s="59" t="s">
        <v>99</v>
      </c>
      <c r="D18" s="60" t="s">
        <v>100</v>
      </c>
      <c r="E18" s="14" t="s">
        <v>46</v>
      </c>
      <c r="F18" s="14" t="s">
        <v>101</v>
      </c>
      <c r="G18" s="3" t="s">
        <v>176</v>
      </c>
      <c r="H18" s="3" t="s">
        <v>127</v>
      </c>
      <c r="I18" s="14" t="s">
        <v>12</v>
      </c>
      <c r="J18" s="12">
        <v>1</v>
      </c>
      <c r="K18" s="4">
        <f t="shared" si="0"/>
        <v>5</v>
      </c>
      <c r="L18" s="5" t="s">
        <v>30</v>
      </c>
      <c r="M18" s="6">
        <v>0.1</v>
      </c>
      <c r="N18" s="6">
        <f t="shared" si="1"/>
        <v>0.1</v>
      </c>
      <c r="O18" s="6">
        <v>0.1</v>
      </c>
      <c r="P18" s="6">
        <f t="shared" si="2"/>
        <v>0.5</v>
      </c>
      <c r="Q18" s="35"/>
      <c r="R18" s="2"/>
      <c r="S18" s="2"/>
    </row>
    <row r="19" spans="1:19" ht="15.75" thickBot="1" x14ac:dyDescent="0.3">
      <c r="A19" s="13">
        <v>17</v>
      </c>
      <c r="B19" s="84"/>
      <c r="C19" s="59" t="s">
        <v>102</v>
      </c>
      <c r="D19" s="60" t="s">
        <v>37</v>
      </c>
      <c r="E19" s="14" t="s">
        <v>46</v>
      </c>
      <c r="F19" s="14" t="s">
        <v>103</v>
      </c>
      <c r="G19" s="3" t="s">
        <v>168</v>
      </c>
      <c r="H19" s="3" t="s">
        <v>127</v>
      </c>
      <c r="I19" s="14" t="s">
        <v>121</v>
      </c>
      <c r="J19" s="12">
        <v>1</v>
      </c>
      <c r="K19" s="4">
        <f t="shared" si="0"/>
        <v>5</v>
      </c>
      <c r="L19" s="5" t="s">
        <v>30</v>
      </c>
      <c r="M19" s="6">
        <v>0.1</v>
      </c>
      <c r="N19" s="6">
        <f t="shared" si="1"/>
        <v>0.1</v>
      </c>
      <c r="O19" s="6">
        <v>0.1</v>
      </c>
      <c r="P19" s="6">
        <f t="shared" si="2"/>
        <v>0.5</v>
      </c>
      <c r="Q19" s="35"/>
      <c r="R19" s="2"/>
      <c r="S19" s="2"/>
    </row>
    <row r="20" spans="1:19" ht="15.75" thickBot="1" x14ac:dyDescent="0.3">
      <c r="A20" s="13">
        <v>18</v>
      </c>
      <c r="B20" s="84"/>
      <c r="C20" s="59" t="s">
        <v>104</v>
      </c>
      <c r="D20" s="60" t="s">
        <v>105</v>
      </c>
      <c r="E20" s="14" t="s">
        <v>46</v>
      </c>
      <c r="F20" s="14" t="s">
        <v>106</v>
      </c>
      <c r="G20" s="3" t="s">
        <v>168</v>
      </c>
      <c r="H20" s="4" t="s">
        <v>127</v>
      </c>
      <c r="I20" s="14" t="s">
        <v>38</v>
      </c>
      <c r="J20" s="12">
        <v>6</v>
      </c>
      <c r="K20" s="4">
        <f t="shared" si="0"/>
        <v>30</v>
      </c>
      <c r="L20" s="5" t="s">
        <v>30</v>
      </c>
      <c r="M20" s="6">
        <v>0.1</v>
      </c>
      <c r="N20" s="6">
        <f t="shared" si="1"/>
        <v>0.60000000000000009</v>
      </c>
      <c r="O20" s="6">
        <v>2.4E-2</v>
      </c>
      <c r="P20" s="6">
        <f t="shared" si="2"/>
        <v>0.72</v>
      </c>
      <c r="Q20" s="25"/>
      <c r="R20" s="2"/>
      <c r="S20" s="2"/>
    </row>
    <row r="21" spans="1:19" ht="15.75" thickBot="1" x14ac:dyDescent="0.3">
      <c r="A21" s="13">
        <v>19</v>
      </c>
      <c r="B21" s="84"/>
      <c r="C21" s="62" t="s">
        <v>195</v>
      </c>
      <c r="D21" s="60" t="s">
        <v>107</v>
      </c>
      <c r="E21" s="14" t="s">
        <v>196</v>
      </c>
      <c r="F21" s="14" t="s">
        <v>197</v>
      </c>
      <c r="G21" s="3" t="s">
        <v>198</v>
      </c>
      <c r="H21" s="3" t="s">
        <v>127</v>
      </c>
      <c r="I21" s="14" t="s">
        <v>122</v>
      </c>
      <c r="J21" s="12">
        <v>4</v>
      </c>
      <c r="K21" s="4">
        <f t="shared" si="0"/>
        <v>20</v>
      </c>
      <c r="L21" s="5" t="s">
        <v>30</v>
      </c>
      <c r="M21" s="6">
        <v>0.3</v>
      </c>
      <c r="N21" s="6">
        <f t="shared" si="1"/>
        <v>1.2</v>
      </c>
      <c r="O21" s="6">
        <v>0.253</v>
      </c>
      <c r="P21" s="6">
        <f t="shared" si="2"/>
        <v>5.0600000000000005</v>
      </c>
      <c r="Q21" s="25"/>
      <c r="R21" s="2"/>
      <c r="S21" s="2"/>
    </row>
    <row r="22" spans="1:19" ht="15.75" thickBot="1" x14ac:dyDescent="0.3">
      <c r="A22" s="13">
        <v>20</v>
      </c>
      <c r="B22" s="84"/>
      <c r="C22" s="59" t="s">
        <v>108</v>
      </c>
      <c r="D22" s="60" t="s">
        <v>109</v>
      </c>
      <c r="E22" s="14" t="s">
        <v>46</v>
      </c>
      <c r="F22" s="14" t="s">
        <v>110</v>
      </c>
      <c r="G22" s="3" t="s">
        <v>168</v>
      </c>
      <c r="H22" s="3" t="s">
        <v>127</v>
      </c>
      <c r="I22" s="14" t="s">
        <v>123</v>
      </c>
      <c r="J22" s="12">
        <v>4</v>
      </c>
      <c r="K22" s="4">
        <f t="shared" si="0"/>
        <v>20</v>
      </c>
      <c r="L22" s="5" t="s">
        <v>30</v>
      </c>
      <c r="M22" s="6">
        <v>0.1</v>
      </c>
      <c r="N22" s="6">
        <f t="shared" si="1"/>
        <v>0.4</v>
      </c>
      <c r="O22" s="6">
        <v>2.4E-2</v>
      </c>
      <c r="P22" s="6">
        <f t="shared" si="2"/>
        <v>0.48</v>
      </c>
      <c r="Q22" s="25"/>
      <c r="R22" s="2"/>
      <c r="S22" s="2"/>
    </row>
    <row r="23" spans="1:19" ht="15.75" thickBot="1" x14ac:dyDescent="0.3">
      <c r="A23" s="13">
        <v>21</v>
      </c>
      <c r="B23" s="84"/>
      <c r="C23" s="59" t="s">
        <v>111</v>
      </c>
      <c r="D23" s="60" t="s">
        <v>112</v>
      </c>
      <c r="E23" s="14" t="s">
        <v>46</v>
      </c>
      <c r="F23" s="14" t="s">
        <v>113</v>
      </c>
      <c r="G23" s="3" t="s">
        <v>168</v>
      </c>
      <c r="H23" s="3" t="s">
        <v>127</v>
      </c>
      <c r="I23" s="14" t="s">
        <v>124</v>
      </c>
      <c r="J23" s="12">
        <v>4</v>
      </c>
      <c r="K23" s="4">
        <f t="shared" si="0"/>
        <v>20</v>
      </c>
      <c r="L23" s="5" t="s">
        <v>30</v>
      </c>
      <c r="M23" s="6">
        <v>0.18</v>
      </c>
      <c r="N23" s="6">
        <f t="shared" si="1"/>
        <v>0.72</v>
      </c>
      <c r="O23" s="6">
        <v>0.151</v>
      </c>
      <c r="P23" s="6">
        <f t="shared" si="2"/>
        <v>3.02</v>
      </c>
      <c r="Q23" s="25"/>
      <c r="R23" s="2"/>
      <c r="S23" s="2"/>
    </row>
    <row r="24" spans="1:19" ht="15.75" thickBot="1" x14ac:dyDescent="0.3">
      <c r="A24" s="13">
        <v>22</v>
      </c>
      <c r="B24" s="84"/>
      <c r="C24" s="59" t="s">
        <v>114</v>
      </c>
      <c r="D24" s="60" t="s">
        <v>115</v>
      </c>
      <c r="E24" s="14" t="s">
        <v>46</v>
      </c>
      <c r="F24" s="14" t="s">
        <v>116</v>
      </c>
      <c r="G24" s="3" t="s">
        <v>168</v>
      </c>
      <c r="H24" s="3" t="s">
        <v>127</v>
      </c>
      <c r="I24" s="14" t="s">
        <v>125</v>
      </c>
      <c r="J24" s="12">
        <v>1</v>
      </c>
      <c r="K24" s="4">
        <f t="shared" si="0"/>
        <v>5</v>
      </c>
      <c r="L24" s="5" t="s">
        <v>30</v>
      </c>
      <c r="M24" s="6">
        <v>0.1</v>
      </c>
      <c r="N24" s="6">
        <f t="shared" si="1"/>
        <v>0.1</v>
      </c>
      <c r="O24" s="6">
        <v>0.1</v>
      </c>
      <c r="P24" s="6">
        <f t="shared" si="2"/>
        <v>0.5</v>
      </c>
      <c r="Q24" s="25"/>
      <c r="R24" s="2"/>
      <c r="S24" s="2"/>
    </row>
    <row r="25" spans="1:19" ht="15.75" thickBot="1" x14ac:dyDescent="0.3">
      <c r="A25" s="13">
        <v>23</v>
      </c>
      <c r="B25" s="85"/>
      <c r="C25" s="64" t="s">
        <v>117</v>
      </c>
      <c r="D25" s="65" t="s">
        <v>118</v>
      </c>
      <c r="E25" s="66" t="s">
        <v>46</v>
      </c>
      <c r="F25" s="66" t="s">
        <v>119</v>
      </c>
      <c r="G25" s="26" t="s">
        <v>168</v>
      </c>
      <c r="H25" s="26" t="s">
        <v>127</v>
      </c>
      <c r="I25" s="66" t="s">
        <v>126</v>
      </c>
      <c r="J25" s="39">
        <v>1</v>
      </c>
      <c r="K25" s="28">
        <f t="shared" si="0"/>
        <v>5</v>
      </c>
      <c r="L25" s="67" t="s">
        <v>30</v>
      </c>
      <c r="M25" s="29">
        <v>0.1</v>
      </c>
      <c r="N25" s="29">
        <f t="shared" si="1"/>
        <v>0.1</v>
      </c>
      <c r="O25" s="29">
        <v>0.1</v>
      </c>
      <c r="P25" s="29">
        <f t="shared" si="2"/>
        <v>0.5</v>
      </c>
      <c r="Q25" s="30"/>
      <c r="R25" s="2"/>
      <c r="S25" s="2"/>
    </row>
    <row r="26" spans="1:19" ht="15.75" thickBot="1" x14ac:dyDescent="0.3">
      <c r="A26" s="13">
        <v>24</v>
      </c>
      <c r="B26" s="83" t="s">
        <v>139</v>
      </c>
      <c r="C26" s="56" t="s">
        <v>128</v>
      </c>
      <c r="D26" s="57" t="s">
        <v>129</v>
      </c>
      <c r="E26" s="31" t="s">
        <v>31</v>
      </c>
      <c r="F26" s="31" t="s">
        <v>130</v>
      </c>
      <c r="G26" s="19" t="s">
        <v>177</v>
      </c>
      <c r="H26" s="19" t="s">
        <v>127</v>
      </c>
      <c r="I26" s="19" t="s">
        <v>127</v>
      </c>
      <c r="J26" s="38">
        <v>2</v>
      </c>
      <c r="K26" s="21">
        <f t="shared" si="0"/>
        <v>10</v>
      </c>
      <c r="L26" s="58" t="s">
        <v>30</v>
      </c>
      <c r="M26" s="23">
        <v>0.96</v>
      </c>
      <c r="N26" s="23">
        <f t="shared" si="1"/>
        <v>1.92</v>
      </c>
      <c r="O26" s="23">
        <v>0.96</v>
      </c>
      <c r="P26" s="23">
        <f t="shared" si="2"/>
        <v>9.6</v>
      </c>
      <c r="Q26" s="24"/>
      <c r="R26" s="2"/>
      <c r="S26" s="2"/>
    </row>
    <row r="27" spans="1:19" ht="15.75" thickBot="1" x14ac:dyDescent="0.3">
      <c r="A27" s="13">
        <v>25</v>
      </c>
      <c r="B27" s="85"/>
      <c r="C27" s="79" t="s">
        <v>131</v>
      </c>
      <c r="D27" s="80" t="s">
        <v>132</v>
      </c>
      <c r="E27" s="80" t="s">
        <v>31</v>
      </c>
      <c r="F27" s="80" t="s">
        <v>133</v>
      </c>
      <c r="G27" s="81" t="s">
        <v>189</v>
      </c>
      <c r="H27" s="81" t="s">
        <v>127</v>
      </c>
      <c r="I27" s="81" t="s">
        <v>127</v>
      </c>
      <c r="J27" s="39">
        <v>1</v>
      </c>
      <c r="K27" s="28">
        <f t="shared" si="0"/>
        <v>5</v>
      </c>
      <c r="L27" s="67" t="s">
        <v>204</v>
      </c>
      <c r="M27" s="29">
        <v>1.2</v>
      </c>
      <c r="N27" s="29">
        <f t="shared" si="1"/>
        <v>1.2</v>
      </c>
      <c r="O27" s="29">
        <v>1.2</v>
      </c>
      <c r="P27" s="29">
        <f t="shared" si="2"/>
        <v>6</v>
      </c>
      <c r="Q27" s="30"/>
      <c r="R27" s="2"/>
      <c r="S27" s="2"/>
    </row>
    <row r="28" spans="1:19" ht="15.75" thickBot="1" x14ac:dyDescent="0.3">
      <c r="A28" s="13">
        <v>26</v>
      </c>
      <c r="B28" s="83" t="s">
        <v>140</v>
      </c>
      <c r="C28" s="76" t="s">
        <v>190</v>
      </c>
      <c r="D28" s="57" t="s">
        <v>134</v>
      </c>
      <c r="E28" s="31" t="s">
        <v>31</v>
      </c>
      <c r="F28" s="77" t="s">
        <v>135</v>
      </c>
      <c r="G28" s="19" t="s">
        <v>189</v>
      </c>
      <c r="H28" s="11" t="s">
        <v>202</v>
      </c>
      <c r="I28" s="20" t="s">
        <v>138</v>
      </c>
      <c r="J28" s="38">
        <v>1</v>
      </c>
      <c r="K28" s="21">
        <f t="shared" si="0"/>
        <v>5</v>
      </c>
      <c r="L28" s="22" t="s">
        <v>30</v>
      </c>
      <c r="M28" s="23">
        <v>0.84</v>
      </c>
      <c r="N28" s="23">
        <f t="shared" si="1"/>
        <v>0.84</v>
      </c>
      <c r="O28" s="23">
        <v>0.84</v>
      </c>
      <c r="P28" s="23">
        <f t="shared" si="2"/>
        <v>4.2</v>
      </c>
      <c r="Q28" s="78" t="s">
        <v>203</v>
      </c>
      <c r="R28" s="2"/>
      <c r="S28" s="2"/>
    </row>
    <row r="29" spans="1:19" ht="15.75" thickBot="1" x14ac:dyDescent="0.3">
      <c r="A29" s="13">
        <v>27</v>
      </c>
      <c r="B29" s="85"/>
      <c r="C29" s="79" t="s">
        <v>191</v>
      </c>
      <c r="D29" s="82" t="s">
        <v>136</v>
      </c>
      <c r="E29" s="82" t="s">
        <v>31</v>
      </c>
      <c r="F29" s="82" t="s">
        <v>137</v>
      </c>
      <c r="G29" s="81" t="s">
        <v>192</v>
      </c>
      <c r="H29" s="81" t="s">
        <v>127</v>
      </c>
      <c r="I29" s="81" t="s">
        <v>162</v>
      </c>
      <c r="J29" s="39">
        <v>1</v>
      </c>
      <c r="K29" s="28">
        <f t="shared" si="0"/>
        <v>5</v>
      </c>
      <c r="L29" s="67" t="s">
        <v>204</v>
      </c>
      <c r="M29" s="29">
        <v>1.6</v>
      </c>
      <c r="N29" s="29">
        <f t="shared" si="1"/>
        <v>1.6</v>
      </c>
      <c r="O29" s="29">
        <v>1.6</v>
      </c>
      <c r="P29" s="29">
        <f t="shared" si="2"/>
        <v>8</v>
      </c>
      <c r="Q29" s="30"/>
      <c r="R29" s="2"/>
      <c r="S29" s="2"/>
    </row>
    <row r="30" spans="1:19" ht="15.75" thickBot="1" x14ac:dyDescent="0.3">
      <c r="A30" s="13">
        <v>28</v>
      </c>
      <c r="B30" s="83" t="s">
        <v>28</v>
      </c>
      <c r="C30" s="56" t="s">
        <v>141</v>
      </c>
      <c r="D30" s="31" t="s">
        <v>42</v>
      </c>
      <c r="E30" s="31" t="s">
        <v>142</v>
      </c>
      <c r="F30" s="31" t="s">
        <v>143</v>
      </c>
      <c r="G30" s="19" t="s">
        <v>178</v>
      </c>
      <c r="H30" s="19" t="s">
        <v>127</v>
      </c>
      <c r="I30" s="19" t="s">
        <v>127</v>
      </c>
      <c r="J30" s="38">
        <v>1</v>
      </c>
      <c r="K30" s="21">
        <f t="shared" si="0"/>
        <v>5</v>
      </c>
      <c r="L30" s="58" t="s">
        <v>30</v>
      </c>
      <c r="M30" s="23">
        <v>5.8</v>
      </c>
      <c r="N30" s="23">
        <f t="shared" si="1"/>
        <v>5.8</v>
      </c>
      <c r="O30" s="23">
        <v>5.8</v>
      </c>
      <c r="P30" s="23">
        <f t="shared" si="2"/>
        <v>29</v>
      </c>
      <c r="Q30" s="24"/>
      <c r="R30" s="2"/>
      <c r="S30" s="2"/>
    </row>
    <row r="31" spans="1:19" ht="15.75" thickBot="1" x14ac:dyDescent="0.3">
      <c r="A31" s="13">
        <v>29</v>
      </c>
      <c r="B31" s="84"/>
      <c r="C31" s="59" t="s">
        <v>144</v>
      </c>
      <c r="D31" s="14" t="s">
        <v>43</v>
      </c>
      <c r="E31" s="14" t="s">
        <v>145</v>
      </c>
      <c r="F31" s="14" t="s">
        <v>144</v>
      </c>
      <c r="G31" s="3" t="s">
        <v>179</v>
      </c>
      <c r="H31" s="3" t="s">
        <v>127</v>
      </c>
      <c r="I31" s="3" t="s">
        <v>127</v>
      </c>
      <c r="J31" s="12">
        <v>1</v>
      </c>
      <c r="K31" s="4">
        <f t="shared" si="0"/>
        <v>5</v>
      </c>
      <c r="L31" s="5" t="s">
        <v>30</v>
      </c>
      <c r="M31" s="6">
        <v>3.4</v>
      </c>
      <c r="N31" s="6">
        <f t="shared" si="1"/>
        <v>3.4</v>
      </c>
      <c r="O31" s="6">
        <v>3.4</v>
      </c>
      <c r="P31" s="6">
        <f t="shared" si="2"/>
        <v>17</v>
      </c>
      <c r="Q31" s="25"/>
      <c r="R31" s="2"/>
      <c r="S31" s="2"/>
    </row>
    <row r="32" spans="1:19" ht="15.75" thickBot="1" x14ac:dyDescent="0.3">
      <c r="A32" s="13">
        <v>30</v>
      </c>
      <c r="B32" s="84"/>
      <c r="C32" s="59" t="s">
        <v>146</v>
      </c>
      <c r="D32" s="14" t="s">
        <v>44</v>
      </c>
      <c r="E32" s="14" t="s">
        <v>147</v>
      </c>
      <c r="F32" s="14" t="s">
        <v>148</v>
      </c>
      <c r="G32" s="3" t="s">
        <v>171</v>
      </c>
      <c r="H32" s="3" t="s">
        <v>127</v>
      </c>
      <c r="I32" s="3" t="s">
        <v>127</v>
      </c>
      <c r="J32" s="12">
        <v>1</v>
      </c>
      <c r="K32" s="4">
        <f t="shared" si="0"/>
        <v>5</v>
      </c>
      <c r="L32" s="5" t="s">
        <v>180</v>
      </c>
      <c r="M32" s="6">
        <v>0.45</v>
      </c>
      <c r="N32" s="6">
        <f t="shared" si="1"/>
        <v>0.45</v>
      </c>
      <c r="O32" s="6">
        <v>0.45</v>
      </c>
      <c r="P32" s="6">
        <f t="shared" si="2"/>
        <v>2.25</v>
      </c>
      <c r="Q32" s="25"/>
      <c r="R32" s="2"/>
      <c r="S32" s="2"/>
    </row>
    <row r="33" spans="1:19" ht="15.75" thickBot="1" x14ac:dyDescent="0.3">
      <c r="A33" s="13">
        <v>31</v>
      </c>
      <c r="B33" s="84"/>
      <c r="C33" s="62" t="s">
        <v>183</v>
      </c>
      <c r="D33" s="11" t="s">
        <v>149</v>
      </c>
      <c r="E33" s="11" t="s">
        <v>31</v>
      </c>
      <c r="F33" s="11" t="s">
        <v>150</v>
      </c>
      <c r="G33" s="3" t="s">
        <v>182</v>
      </c>
      <c r="H33" s="3" t="s">
        <v>127</v>
      </c>
      <c r="I33" s="3" t="s">
        <v>127</v>
      </c>
      <c r="J33" s="12">
        <v>4</v>
      </c>
      <c r="K33" s="4">
        <f t="shared" si="0"/>
        <v>20</v>
      </c>
      <c r="L33" s="5" t="s">
        <v>181</v>
      </c>
      <c r="M33" s="6">
        <v>0.81</v>
      </c>
      <c r="N33" s="6">
        <f t="shared" si="1"/>
        <v>3.24</v>
      </c>
      <c r="O33" s="6">
        <v>0.81</v>
      </c>
      <c r="P33" s="6">
        <f t="shared" si="2"/>
        <v>16.200000000000003</v>
      </c>
      <c r="Q33" s="25"/>
      <c r="R33" s="2"/>
      <c r="S33" s="2"/>
    </row>
    <row r="34" spans="1:19" ht="15.75" thickBot="1" x14ac:dyDescent="0.3">
      <c r="A34" s="13">
        <v>32</v>
      </c>
      <c r="B34" s="84"/>
      <c r="C34" s="59" t="s">
        <v>151</v>
      </c>
      <c r="D34" s="14" t="s">
        <v>47</v>
      </c>
      <c r="E34" s="14" t="s">
        <v>152</v>
      </c>
      <c r="F34" s="14" t="s">
        <v>153</v>
      </c>
      <c r="G34" s="3" t="s">
        <v>178</v>
      </c>
      <c r="H34" s="3" t="s">
        <v>127</v>
      </c>
      <c r="I34" s="3" t="s">
        <v>127</v>
      </c>
      <c r="J34" s="12">
        <v>1</v>
      </c>
      <c r="K34" s="4">
        <f t="shared" si="0"/>
        <v>5</v>
      </c>
      <c r="L34" s="5" t="s">
        <v>30</v>
      </c>
      <c r="M34" s="6">
        <v>1.26</v>
      </c>
      <c r="N34" s="6">
        <f t="shared" si="1"/>
        <v>1.26</v>
      </c>
      <c r="O34" s="6">
        <v>1.26</v>
      </c>
      <c r="P34" s="6">
        <f t="shared" si="2"/>
        <v>6.3</v>
      </c>
      <c r="Q34" s="25"/>
      <c r="R34" s="2"/>
      <c r="S34" s="2"/>
    </row>
    <row r="35" spans="1:19" ht="15.75" thickBot="1" x14ac:dyDescent="0.3">
      <c r="A35" s="13">
        <v>33</v>
      </c>
      <c r="B35" s="85"/>
      <c r="C35" s="68" t="s">
        <v>184</v>
      </c>
      <c r="D35" s="66" t="s">
        <v>154</v>
      </c>
      <c r="E35" s="27" t="s">
        <v>185</v>
      </c>
      <c r="F35" s="66" t="s">
        <v>155</v>
      </c>
      <c r="G35" s="26" t="s">
        <v>186</v>
      </c>
      <c r="H35" s="26" t="s">
        <v>127</v>
      </c>
      <c r="I35" s="26" t="s">
        <v>127</v>
      </c>
      <c r="J35" s="39">
        <v>5</v>
      </c>
      <c r="K35" s="28">
        <f t="shared" si="0"/>
        <v>25</v>
      </c>
      <c r="L35" s="67" t="s">
        <v>30</v>
      </c>
      <c r="M35" s="29">
        <v>0.48</v>
      </c>
      <c r="N35" s="29">
        <f t="shared" si="1"/>
        <v>2.4</v>
      </c>
      <c r="O35" s="29">
        <v>0.48</v>
      </c>
      <c r="P35" s="29">
        <f t="shared" si="2"/>
        <v>12</v>
      </c>
      <c r="Q35" s="30"/>
      <c r="R35" s="2"/>
      <c r="S35" s="2"/>
    </row>
    <row r="36" spans="1:19" ht="15.75" thickBot="1" x14ac:dyDescent="0.3">
      <c r="A36" s="13">
        <v>34</v>
      </c>
      <c r="B36" s="83" t="s">
        <v>29</v>
      </c>
      <c r="C36" s="56" t="s">
        <v>48</v>
      </c>
      <c r="D36" s="31" t="s">
        <v>156</v>
      </c>
      <c r="E36" s="31" t="s">
        <v>31</v>
      </c>
      <c r="F36" s="31" t="s">
        <v>157</v>
      </c>
      <c r="G36" s="19" t="s">
        <v>176</v>
      </c>
      <c r="H36" s="19" t="s">
        <v>127</v>
      </c>
      <c r="I36" s="19" t="s">
        <v>127</v>
      </c>
      <c r="J36" s="38">
        <v>5</v>
      </c>
      <c r="K36" s="21">
        <f t="shared" si="0"/>
        <v>25</v>
      </c>
      <c r="L36" s="58" t="s">
        <v>187</v>
      </c>
      <c r="M36" s="23">
        <v>0.17347000000000001</v>
      </c>
      <c r="N36" s="23">
        <f t="shared" si="1"/>
        <v>0.86735000000000007</v>
      </c>
      <c r="O36" s="23">
        <v>0.17347000000000001</v>
      </c>
      <c r="P36" s="23">
        <f t="shared" si="2"/>
        <v>4.3367500000000003</v>
      </c>
      <c r="Q36" s="24"/>
      <c r="R36" s="2"/>
      <c r="S36" s="2"/>
    </row>
    <row r="37" spans="1:19" ht="15.75" thickBot="1" x14ac:dyDescent="0.3">
      <c r="A37" s="13">
        <v>35</v>
      </c>
      <c r="B37" s="84"/>
      <c r="C37" s="62" t="s">
        <v>200</v>
      </c>
      <c r="D37" s="14" t="s">
        <v>158</v>
      </c>
      <c r="E37" s="14" t="s">
        <v>31</v>
      </c>
      <c r="F37" s="61" t="s">
        <v>159</v>
      </c>
      <c r="G37" s="3" t="s">
        <v>199</v>
      </c>
      <c r="H37" s="3">
        <v>1715857</v>
      </c>
      <c r="I37" s="3" t="s">
        <v>127</v>
      </c>
      <c r="J37" s="12">
        <v>2</v>
      </c>
      <c r="K37" s="4">
        <f t="shared" si="0"/>
        <v>10</v>
      </c>
      <c r="L37" s="5" t="s">
        <v>30</v>
      </c>
      <c r="M37" s="6">
        <v>2.19</v>
      </c>
      <c r="N37" s="6">
        <f t="shared" si="1"/>
        <v>4.38</v>
      </c>
      <c r="O37" s="6">
        <v>2.19</v>
      </c>
      <c r="P37" s="6">
        <f t="shared" si="2"/>
        <v>21.9</v>
      </c>
      <c r="Q37" s="25"/>
      <c r="R37" s="2"/>
      <c r="S37" s="2"/>
    </row>
    <row r="38" spans="1:19" ht="15.75" thickBot="1" x14ac:dyDescent="0.3">
      <c r="A38" s="13">
        <v>36</v>
      </c>
      <c r="B38" s="84"/>
      <c r="C38" s="59" t="s">
        <v>9</v>
      </c>
      <c r="D38" s="14" t="s">
        <v>10</v>
      </c>
      <c r="E38" s="14" t="s">
        <v>31</v>
      </c>
      <c r="F38" s="14" t="s">
        <v>8</v>
      </c>
      <c r="G38" s="3" t="s">
        <v>188</v>
      </c>
      <c r="H38" s="3" t="s">
        <v>127</v>
      </c>
      <c r="I38" s="3" t="s">
        <v>163</v>
      </c>
      <c r="J38" s="12">
        <v>1</v>
      </c>
      <c r="K38" s="4">
        <f t="shared" si="0"/>
        <v>5</v>
      </c>
      <c r="L38" s="5" t="s">
        <v>30</v>
      </c>
      <c r="M38" s="6">
        <v>1.4</v>
      </c>
      <c r="N38" s="6">
        <f t="shared" si="1"/>
        <v>1.4</v>
      </c>
      <c r="O38" s="6">
        <v>1.4</v>
      </c>
      <c r="P38" s="6">
        <f t="shared" si="2"/>
        <v>7</v>
      </c>
      <c r="Q38" s="25"/>
      <c r="R38" s="2"/>
      <c r="S38" s="2"/>
    </row>
    <row r="39" spans="1:19" ht="15.75" thickBot="1" x14ac:dyDescent="0.3">
      <c r="A39" s="55">
        <v>37</v>
      </c>
      <c r="B39" s="85"/>
      <c r="C39" s="64" t="s">
        <v>11</v>
      </c>
      <c r="D39" s="66" t="s">
        <v>160</v>
      </c>
      <c r="E39" s="66" t="s">
        <v>31</v>
      </c>
      <c r="F39" s="66" t="s">
        <v>161</v>
      </c>
      <c r="G39" s="26" t="s">
        <v>188</v>
      </c>
      <c r="H39" s="26" t="s">
        <v>127</v>
      </c>
      <c r="I39" s="26" t="s">
        <v>127</v>
      </c>
      <c r="J39" s="39">
        <v>1</v>
      </c>
      <c r="K39" s="28">
        <f t="shared" si="0"/>
        <v>5</v>
      </c>
      <c r="L39" s="67" t="s">
        <v>30</v>
      </c>
      <c r="M39" s="29">
        <v>0.45</v>
      </c>
      <c r="N39" s="29">
        <f t="shared" si="1"/>
        <v>0.45</v>
      </c>
      <c r="O39" s="29">
        <v>0.45</v>
      </c>
      <c r="P39" s="29">
        <f t="shared" si="2"/>
        <v>2.25</v>
      </c>
      <c r="Q39" s="53"/>
      <c r="R39" s="2"/>
      <c r="S39" s="2"/>
    </row>
    <row r="40" spans="1:19" ht="19.5" customHeight="1" thickBot="1" x14ac:dyDescent="0.35">
      <c r="H40" s="86" t="s">
        <v>32</v>
      </c>
      <c r="I40" s="86"/>
      <c r="J40" s="86"/>
      <c r="N40" s="17">
        <f>SUM(N3:N39)</f>
        <v>43.987349999999999</v>
      </c>
      <c r="O40" s="7"/>
      <c r="P40" s="15">
        <f>SUM(P3:P39)</f>
        <v>200.71275</v>
      </c>
      <c r="R40" s="2"/>
      <c r="S40" s="2"/>
    </row>
    <row r="41" spans="1:19" ht="18.75" customHeight="1" x14ac:dyDescent="0.3">
      <c r="H41" s="87" t="s">
        <v>33</v>
      </c>
      <c r="I41" s="87"/>
      <c r="J41" s="87"/>
      <c r="N41" s="18"/>
      <c r="O41" s="8"/>
      <c r="P41" s="9">
        <f>P40/5</f>
        <v>40.14255</v>
      </c>
      <c r="R41" s="2"/>
      <c r="S41" s="2"/>
    </row>
    <row r="42" spans="1:19" x14ac:dyDescent="0.25">
      <c r="R42" s="2"/>
      <c r="S42" s="2"/>
    </row>
    <row r="43" spans="1:19" x14ac:dyDescent="0.25">
      <c r="R43" s="2"/>
      <c r="S43" s="2"/>
    </row>
    <row r="44" spans="1:19" x14ac:dyDescent="0.25">
      <c r="R44" s="2"/>
      <c r="S44" s="2"/>
    </row>
    <row r="45" spans="1:19" x14ac:dyDescent="0.25">
      <c r="R45" s="2"/>
      <c r="S45" s="2"/>
    </row>
    <row r="46" spans="1:19" x14ac:dyDescent="0.25">
      <c r="R46" s="2"/>
      <c r="S46" s="2"/>
    </row>
    <row r="47" spans="1:19" x14ac:dyDescent="0.25">
      <c r="R47" s="2"/>
      <c r="S47" s="2"/>
    </row>
    <row r="48" spans="1:19" x14ac:dyDescent="0.25">
      <c r="R48" s="2"/>
      <c r="S48" s="2"/>
    </row>
    <row r="49" spans="18:19" x14ac:dyDescent="0.25">
      <c r="R49" s="2"/>
      <c r="S49" s="2"/>
    </row>
    <row r="50" spans="18:19" x14ac:dyDescent="0.25">
      <c r="R50" s="2"/>
      <c r="S50" s="2"/>
    </row>
    <row r="51" spans="18:19" x14ac:dyDescent="0.25">
      <c r="R51" s="2"/>
      <c r="S51" s="2"/>
    </row>
    <row r="52" spans="18:19" x14ac:dyDescent="0.25">
      <c r="R52" s="2"/>
      <c r="S52" s="2"/>
    </row>
    <row r="53" spans="18:19" x14ac:dyDescent="0.25">
      <c r="R53" s="2"/>
      <c r="S53" s="2"/>
    </row>
    <row r="54" spans="18:19" x14ac:dyDescent="0.25">
      <c r="R54" s="2"/>
      <c r="S54" s="2"/>
    </row>
    <row r="55" spans="18:19" x14ac:dyDescent="0.25">
      <c r="R55" s="2"/>
      <c r="S55" s="2"/>
    </row>
    <row r="56" spans="18:19" ht="15.75" customHeight="1" x14ac:dyDescent="0.25">
      <c r="R56" s="2"/>
      <c r="S56" s="2"/>
    </row>
    <row r="57" spans="18:19" ht="15.75" customHeight="1" x14ac:dyDescent="0.25">
      <c r="R57" s="2"/>
      <c r="S57" s="2"/>
    </row>
    <row r="58" spans="18:19" ht="15.75" customHeight="1" x14ac:dyDescent="0.25">
      <c r="R58" s="2"/>
      <c r="S58" s="2"/>
    </row>
    <row r="59" spans="18:19" x14ac:dyDescent="0.25">
      <c r="R59" s="2"/>
      <c r="S59" s="2"/>
    </row>
    <row r="60" spans="18:19" x14ac:dyDescent="0.25">
      <c r="R60" s="2"/>
      <c r="S60" s="2"/>
    </row>
  </sheetData>
  <mergeCells count="10">
    <mergeCell ref="B3:B12"/>
    <mergeCell ref="H40:J40"/>
    <mergeCell ref="H41:J41"/>
    <mergeCell ref="B36:B39"/>
    <mergeCell ref="A1:Q1"/>
    <mergeCell ref="B13:B14"/>
    <mergeCell ref="B17:B25"/>
    <mergeCell ref="B26:B27"/>
    <mergeCell ref="B28:B29"/>
    <mergeCell ref="B30:B35"/>
  </mergeCells>
  <conditionalFormatting sqref="Q39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{D8672D6E-0B10-42FC-9A68-6BA20FE23C54}</x14:id>
        </ext>
      </extLst>
    </cfRule>
  </conditionalFormatting>
  <conditionalFormatting sqref="Q18:Q19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{03DC7ABD-1804-44C8-B518-B9C1E3B7B782}</x14:id>
        </ext>
      </extLst>
    </cfRule>
  </conditionalFormatting>
  <conditionalFormatting sqref="Q13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{E979418E-1F02-4D53-806F-B483D95944D6}</x14:id>
        </ext>
      </extLst>
    </cfRule>
  </conditionalFormatting>
  <conditionalFormatting sqref="O41:P41">
    <cfRule type="dataBar" priority="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N3:N39 N41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{9C11EB30-88AE-4AD0-B2DA-E34DBD9D8773}</x14:id>
        </ext>
      </extLst>
    </cfRule>
  </conditionalFormatting>
  <conditionalFormatting sqref="J3:K39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39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39"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{2F6B6F4F-BC31-4B63-B3A8-F7820745DC3B}</x14:id>
        </ext>
      </extLst>
    </cfRule>
  </conditionalFormatting>
  <hyperlinks>
    <hyperlink ref="L3" r:id="rId1"/>
    <hyperlink ref="L4" r:id="rId2"/>
    <hyperlink ref="L5" r:id="rId3"/>
    <hyperlink ref="L6" r:id="rId4"/>
    <hyperlink ref="L7" r:id="rId5"/>
    <hyperlink ref="L9" r:id="rId6"/>
    <hyperlink ref="L10" r:id="rId7"/>
    <hyperlink ref="L11" r:id="rId8"/>
    <hyperlink ref="L12" r:id="rId9"/>
    <hyperlink ref="L13" r:id="rId10"/>
    <hyperlink ref="L14" r:id="rId11"/>
    <hyperlink ref="L15" r:id="rId12"/>
    <hyperlink ref="L16" r:id="rId13"/>
    <hyperlink ref="L17" r:id="rId14"/>
    <hyperlink ref="L18" r:id="rId15"/>
    <hyperlink ref="L19" r:id="rId16"/>
    <hyperlink ref="L20" r:id="rId17"/>
    <hyperlink ref="L22" r:id="rId18"/>
    <hyperlink ref="L23" r:id="rId19"/>
    <hyperlink ref="L24" r:id="rId20"/>
    <hyperlink ref="L25" r:id="rId21"/>
    <hyperlink ref="L26" r:id="rId22"/>
    <hyperlink ref="L30" r:id="rId23"/>
    <hyperlink ref="L31" r:id="rId24"/>
    <hyperlink ref="L32" r:id="rId25"/>
    <hyperlink ref="L33" r:id="rId26"/>
    <hyperlink ref="L34" r:id="rId27"/>
    <hyperlink ref="L35" r:id="rId28"/>
    <hyperlink ref="L36" r:id="rId29"/>
    <hyperlink ref="L38" r:id="rId30"/>
    <hyperlink ref="L39" r:id="rId31"/>
    <hyperlink ref="L29" r:id="rId32" display="LCSC"/>
    <hyperlink ref="L21" r:id="rId33"/>
    <hyperlink ref="L37" r:id="rId34"/>
    <hyperlink ref="L8" r:id="rId35"/>
    <hyperlink ref="L28" r:id="rId36"/>
  </hyperlinks>
  <pageMargins left="0.7" right="0.7" top="0.75" bottom="0.75" header="0.3" footer="0.3"/>
  <pageSetup orientation="portrait" r:id="rId3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672D6E-0B10-42FC-9A68-6BA20FE23C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Q39</xm:sqref>
        </x14:conditionalFormatting>
        <x14:conditionalFormatting xmlns:xm="http://schemas.microsoft.com/office/excel/2006/main">
          <x14:cfRule type="dataBar" id="{03DC7ABD-1804-44C8-B518-B9C1E3B7B7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Q18:Q19</xm:sqref>
        </x14:conditionalFormatting>
        <x14:conditionalFormatting xmlns:xm="http://schemas.microsoft.com/office/excel/2006/main">
          <x14:cfRule type="dataBar" id="{E979418E-1F02-4D53-806F-B483D95944D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O41:P41</xm:sqref>
        </x14:conditionalFormatting>
        <x14:conditionalFormatting xmlns:xm="http://schemas.microsoft.com/office/excel/2006/main">
          <x14:cfRule type="dataBar" id="{9C11EB30-88AE-4AD0-B2DA-E34DBD9D87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N3:N39 N41</xm:sqref>
        </x14:conditionalFormatting>
        <x14:conditionalFormatting xmlns:xm="http://schemas.microsoft.com/office/excel/2006/main">
          <x14:cfRule type="dataBar" id="{2F6B6F4F-BC31-4B63-B3A8-F7820745DC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Windows User</cp:lastModifiedBy>
  <dcterms:created xsi:type="dcterms:W3CDTF">2021-05-17T11:34:06Z</dcterms:created>
  <dcterms:modified xsi:type="dcterms:W3CDTF">2021-11-03T11:53:58Z</dcterms:modified>
</cp:coreProperties>
</file>